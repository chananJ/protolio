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חוברת_עבודה_זו"/>
  <mc:AlternateContent xmlns:mc="http://schemas.openxmlformats.org/markup-compatibility/2006">
    <mc:Choice Requires="x15">
      <x15ac:absPath xmlns:x15ac="http://schemas.microsoft.com/office/spreadsheetml/2010/11/ac" url="C:\Users\chana\Desktop\יישומי מחשב למתקדמים\מבחנים\2017\2017 מועד ב\"/>
    </mc:Choice>
  </mc:AlternateContent>
  <xr:revisionPtr revIDLastSave="0" documentId="13_ncr:1_{B1D0757F-ADF8-4327-AF24-CFEC60BA8B3D}" xr6:coauthVersionLast="47" xr6:coauthVersionMax="47" xr10:uidLastSave="{00000000-0000-0000-0000-000000000000}"/>
  <bookViews>
    <workbookView xWindow="-110" yWindow="-110" windowWidth="19420" windowHeight="10300" activeTab="4" xr2:uid="{00000000-000D-0000-FFFF-FFFF00000000}"/>
  </bookViews>
  <sheets>
    <sheet name="1 backup" sheetId="4" r:id="rId1"/>
    <sheet name="גיליון1" sheetId="5" r:id="rId2"/>
    <sheet name="1" sheetId="1" r:id="rId3"/>
    <sheet name="2" sheetId="2" r:id="rId4"/>
    <sheet name="3" sheetId="3" r:id="rId5"/>
  </sheets>
  <functionGroups builtInGroupCount="19"/>
  <definedNames>
    <definedName name="_xlnm._FilterDatabase" localSheetId="2" hidden="1">'1'!$D$1:$J$58</definedName>
    <definedName name="solver_adj" localSheetId="3" hidden="1">'2'!$F$3:$H$12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'2'!$F$3:$H$12</definedName>
    <definedName name="solver_lhs2" localSheetId="3" hidden="1">'2'!$F$5</definedName>
    <definedName name="solver_lhs3" localSheetId="3" hidden="1">'2'!$G$13</definedName>
    <definedName name="solver_lhs4" localSheetId="3" hidden="1">'2'!$G$5</definedName>
    <definedName name="solver_lhs5" localSheetId="3" hidden="1">'2'!$H$5</definedName>
    <definedName name="solver_lhs6" localSheetId="3" hidden="1">'2'!$I$3:$I$12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6</definedName>
    <definedName name="solver_nwt" localSheetId="3" hidden="1">1</definedName>
    <definedName name="solver_opt" localSheetId="3" hidden="1">'2'!$H$16</definedName>
    <definedName name="solver_pre" localSheetId="3" hidden="1">0.000001</definedName>
    <definedName name="solver_rbv" localSheetId="3" hidden="1">1</definedName>
    <definedName name="solver_rel1" localSheetId="3" hidden="1">4</definedName>
    <definedName name="solver_rel2" localSheetId="3" hidden="1">2</definedName>
    <definedName name="solver_rel3" localSheetId="3" hidden="1">1</definedName>
    <definedName name="solver_rel4" localSheetId="3" hidden="1">2</definedName>
    <definedName name="solver_rel5" localSheetId="3" hidden="1">2</definedName>
    <definedName name="solver_rel6" localSheetId="3" hidden="1">2</definedName>
    <definedName name="solver_rhs1" localSheetId="3" hidden="1">"integer"</definedName>
    <definedName name="solver_rhs2" localSheetId="3" hidden="1">'2'!$F$6</definedName>
    <definedName name="solver_rhs3" localSheetId="3" hidden="1">'2'!$G$18</definedName>
    <definedName name="solver_rhs4" localSheetId="3" hidden="1">'2'!$G$6</definedName>
    <definedName name="solver_rhs5" localSheetId="3" hidden="1">'2'!$H$6</definedName>
    <definedName name="solver_rhs6" localSheetId="3" hidden="1">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3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4" i="2" l="1"/>
  <c r="G14" i="2"/>
  <c r="F14" i="2"/>
  <c r="I4" i="2"/>
  <c r="I5" i="2"/>
  <c r="I6" i="2"/>
  <c r="I7" i="2"/>
  <c r="I8" i="2"/>
  <c r="I9" i="2"/>
  <c r="I10" i="2"/>
  <c r="I11" i="2"/>
  <c r="I12" i="2"/>
  <c r="I3" i="2"/>
  <c r="D14" i="3" a="1"/>
  <c r="D17" i="3" a="1"/>
  <c r="D15" i="3" a="1"/>
  <c r="D16" i="3" a="1"/>
  <c r="D18" i="3" a="1"/>
  <c r="D13" i="3" a="1"/>
  <c r="B6" i="3" a="1"/>
  <c r="D14" i="3" l="1"/>
  <c r="D18" i="3"/>
  <c r="D16" i="3"/>
  <c r="D15" i="3"/>
  <c r="D17" i="3"/>
  <c r="D13" i="3"/>
  <c r="B6" i="3"/>
  <c r="H13" i="2"/>
  <c r="F13" i="2"/>
  <c r="G13" i="2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2" i="1"/>
  <c r="J2" i="1" a="1"/>
  <c r="J2" i="1" s="1"/>
  <c r="J3" i="1" a="1"/>
  <c r="J3" i="1" s="1"/>
  <c r="J4" i="1" a="1"/>
  <c r="J4" i="1" s="1"/>
  <c r="J5" i="1" a="1"/>
  <c r="J5" i="1" s="1"/>
  <c r="J6" i="1" a="1"/>
  <c r="J6" i="1" s="1"/>
  <c r="J7" i="1" a="1"/>
  <c r="J7" i="1" s="1"/>
  <c r="J8" i="1" a="1"/>
  <c r="J8" i="1" s="1"/>
  <c r="J9" i="1" a="1"/>
  <c r="J9" i="1" s="1"/>
  <c r="J10" i="1" a="1"/>
  <c r="J10" i="1" s="1"/>
  <c r="J11" i="1" a="1"/>
  <c r="J11" i="1" s="1"/>
  <c r="J12" i="1" a="1"/>
  <c r="J12" i="1" s="1"/>
  <c r="J13" i="1" a="1"/>
  <c r="J13" i="1" s="1"/>
  <c r="J14" i="1" a="1"/>
  <c r="J14" i="1" s="1"/>
  <c r="J15" i="1" a="1"/>
  <c r="J15" i="1" s="1"/>
  <c r="J16" i="1" a="1"/>
  <c r="J16" i="1" s="1"/>
  <c r="J17" i="1" a="1"/>
  <c r="J17" i="1" s="1"/>
  <c r="J18" i="1" a="1"/>
  <c r="J18" i="1" s="1"/>
  <c r="J19" i="1" a="1"/>
  <c r="J19" i="1" s="1"/>
  <c r="J20" i="1" a="1"/>
  <c r="J20" i="1" s="1"/>
  <c r="J21" i="1" a="1"/>
  <c r="J21" i="1" s="1"/>
  <c r="J22" i="1" a="1"/>
  <c r="J22" i="1" s="1"/>
  <c r="J23" i="1" a="1"/>
  <c r="J23" i="1" s="1"/>
  <c r="J24" i="1" a="1"/>
  <c r="J24" i="1" s="1"/>
  <c r="J25" i="1" a="1"/>
  <c r="J25" i="1" s="1"/>
  <c r="J26" i="1" a="1"/>
  <c r="J26" i="1" s="1"/>
  <c r="J27" i="1" a="1"/>
  <c r="J27" i="1" s="1"/>
  <c r="J28" i="1" a="1"/>
  <c r="J28" i="1" s="1"/>
  <c r="J29" i="1" a="1"/>
  <c r="J29" i="1" s="1"/>
  <c r="J30" i="1" a="1"/>
  <c r="J30" i="1" s="1"/>
  <c r="J31" i="1" a="1"/>
  <c r="J31" i="1" s="1"/>
  <c r="J32" i="1" a="1"/>
  <c r="J32" i="1" s="1"/>
  <c r="J33" i="1" a="1"/>
  <c r="J33" i="1" s="1"/>
  <c r="J34" i="1" a="1"/>
  <c r="J34" i="1" s="1"/>
  <c r="J35" i="1" a="1"/>
  <c r="J35" i="1" s="1"/>
  <c r="J36" i="1" a="1"/>
  <c r="J36" i="1" s="1"/>
  <c r="J37" i="1" a="1"/>
  <c r="J37" i="1" s="1"/>
  <c r="J38" i="1" a="1"/>
  <c r="J38" i="1" s="1"/>
  <c r="J39" i="1" a="1"/>
  <c r="J39" i="1" s="1"/>
  <c r="J40" i="1" a="1"/>
  <c r="J40" i="1" s="1"/>
  <c r="J41" i="1" a="1"/>
  <c r="J41" i="1" s="1"/>
  <c r="J42" i="1" a="1"/>
  <c r="J42" i="1" s="1"/>
  <c r="J43" i="1" a="1"/>
  <c r="J43" i="1" s="1"/>
  <c r="J44" i="1" a="1"/>
  <c r="J44" i="1" s="1"/>
  <c r="J45" i="1" a="1"/>
  <c r="J45" i="1" s="1"/>
  <c r="J46" i="1" a="1"/>
  <c r="J46" i="1" s="1"/>
  <c r="J47" i="1" a="1"/>
  <c r="J47" i="1" s="1"/>
  <c r="J48" i="1" a="1"/>
  <c r="J48" i="1" s="1"/>
  <c r="J49" i="1" a="1"/>
  <c r="J49" i="1" s="1"/>
  <c r="J50" i="1" a="1"/>
  <c r="J50" i="1" s="1"/>
  <c r="J51" i="1" a="1"/>
  <c r="J51" i="1" s="1"/>
  <c r="J52" i="1" a="1"/>
  <c r="J52" i="1" s="1"/>
  <c r="J53" i="1" a="1"/>
  <c r="J53" i="1" s="1"/>
  <c r="J54" i="1" a="1"/>
  <c r="J54" i="1" s="1"/>
  <c r="J55" i="1" a="1"/>
  <c r="J55" i="1" s="1"/>
  <c r="J56" i="1" a="1"/>
  <c r="J56" i="1" s="1"/>
  <c r="J57" i="1" a="1"/>
  <c r="J57" i="1" s="1"/>
  <c r="J58" i="1" a="1"/>
  <c r="J58" i="1" s="1"/>
  <c r="I3" i="1" a="1"/>
  <c r="I3" i="1" s="1"/>
  <c r="I4" i="1" a="1"/>
  <c r="I4" i="1" s="1"/>
  <c r="I5" i="1" a="1"/>
  <c r="I5" i="1" s="1"/>
  <c r="I6" i="1" a="1"/>
  <c r="I6" i="1" s="1"/>
  <c r="I7" i="1" a="1"/>
  <c r="I7" i="1" s="1"/>
  <c r="I8" i="1" a="1"/>
  <c r="I8" i="1" s="1"/>
  <c r="I9" i="1" a="1"/>
  <c r="I9" i="1" s="1"/>
  <c r="I10" i="1" a="1"/>
  <c r="I10" i="1" s="1"/>
  <c r="I11" i="1" a="1"/>
  <c r="I11" i="1" s="1"/>
  <c r="I12" i="1" a="1"/>
  <c r="I12" i="1" s="1"/>
  <c r="I13" i="1" a="1"/>
  <c r="I13" i="1" s="1"/>
  <c r="I14" i="1" a="1"/>
  <c r="I14" i="1" s="1"/>
  <c r="I15" i="1" a="1"/>
  <c r="I15" i="1" s="1"/>
  <c r="I16" i="1" a="1"/>
  <c r="I16" i="1" s="1"/>
  <c r="I17" i="1" a="1"/>
  <c r="I17" i="1" s="1"/>
  <c r="I18" i="1" a="1"/>
  <c r="I18" i="1" s="1"/>
  <c r="I19" i="1" a="1"/>
  <c r="I19" i="1" s="1"/>
  <c r="I20" i="1" a="1"/>
  <c r="I20" i="1" s="1"/>
  <c r="I21" i="1" a="1"/>
  <c r="I21" i="1" s="1"/>
  <c r="I22" i="1" a="1"/>
  <c r="I22" i="1" s="1"/>
  <c r="I23" i="1" a="1"/>
  <c r="I23" i="1" s="1"/>
  <c r="I24" i="1" a="1"/>
  <c r="I24" i="1" s="1"/>
  <c r="I25" i="1" a="1"/>
  <c r="I25" i="1" s="1"/>
  <c r="I26" i="1" a="1"/>
  <c r="I26" i="1" s="1"/>
  <c r="I27" i="1" a="1"/>
  <c r="I27" i="1" s="1"/>
  <c r="I28" i="1" a="1"/>
  <c r="I28" i="1" s="1"/>
  <c r="I29" i="1" a="1"/>
  <c r="I29" i="1" s="1"/>
  <c r="I30" i="1" a="1"/>
  <c r="I30" i="1" s="1"/>
  <c r="I31" i="1" a="1"/>
  <c r="I31" i="1" s="1"/>
  <c r="I32" i="1" a="1"/>
  <c r="I32" i="1" s="1"/>
  <c r="I33" i="1" a="1"/>
  <c r="I33" i="1" s="1"/>
  <c r="I34" i="1" a="1"/>
  <c r="I34" i="1" s="1"/>
  <c r="I35" i="1" a="1"/>
  <c r="I35" i="1" s="1"/>
  <c r="I36" i="1" a="1"/>
  <c r="I36" i="1" s="1"/>
  <c r="I37" i="1" a="1"/>
  <c r="I37" i="1" s="1"/>
  <c r="I38" i="1" a="1"/>
  <c r="I38" i="1" s="1"/>
  <c r="I39" i="1" a="1"/>
  <c r="I39" i="1" s="1"/>
  <c r="I40" i="1" a="1"/>
  <c r="I40" i="1" s="1"/>
  <c r="I41" i="1" a="1"/>
  <c r="I41" i="1" s="1"/>
  <c r="I42" i="1" a="1"/>
  <c r="I42" i="1" s="1"/>
  <c r="I43" i="1" a="1"/>
  <c r="I43" i="1" s="1"/>
  <c r="I44" i="1" a="1"/>
  <c r="I44" i="1" s="1"/>
  <c r="I45" i="1" a="1"/>
  <c r="I45" i="1" s="1"/>
  <c r="I46" i="1" a="1"/>
  <c r="I46" i="1" s="1"/>
  <c r="I47" i="1" a="1"/>
  <c r="I47" i="1" s="1"/>
  <c r="I48" i="1" a="1"/>
  <c r="I48" i="1" s="1"/>
  <c r="I49" i="1" a="1"/>
  <c r="I49" i="1" s="1"/>
  <c r="I50" i="1" a="1"/>
  <c r="I50" i="1" s="1"/>
  <c r="I51" i="1" a="1"/>
  <c r="I51" i="1" s="1"/>
  <c r="I52" i="1" a="1"/>
  <c r="I52" i="1" s="1"/>
  <c r="I53" i="1" a="1"/>
  <c r="I53" i="1" s="1"/>
  <c r="I54" i="1" a="1"/>
  <c r="I54" i="1" s="1"/>
  <c r="I55" i="1" a="1"/>
  <c r="I55" i="1" s="1"/>
  <c r="I56" i="1" a="1"/>
  <c r="I56" i="1" s="1"/>
  <c r="I57" i="1" a="1"/>
  <c r="I57" i="1" s="1"/>
  <c r="I58" i="1" a="1"/>
  <c r="I58" i="1" s="1"/>
  <c r="I2" i="1" a="1"/>
  <c r="I2" i="1" s="1"/>
  <c r="T32" i="1"/>
  <c r="T31" i="1"/>
  <c r="T30" i="1"/>
  <c r="H16" i="2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2" i="1"/>
  <c r="Y14" i="1"/>
  <c r="Y15" i="1"/>
  <c r="Y16" i="1"/>
  <c r="Y10" i="1"/>
  <c r="Y11" i="1"/>
  <c r="Y12" i="1"/>
  <c r="Y13" i="1"/>
  <c r="Y17" i="1" l="1"/>
  <c r="D9" i="3" a="1"/>
  <c r="D9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<sst xmlns="http://schemas.openxmlformats.org/spreadsheetml/2006/main" count="358" uniqueCount="63">
  <si>
    <t>Vada Mushrush</t>
  </si>
  <si>
    <t>Korey Brookover  </t>
  </si>
  <si>
    <t>Glendora Machen</t>
  </si>
  <si>
    <t>teller</t>
  </si>
  <si>
    <t>transaction</t>
  </si>
  <si>
    <t>account</t>
  </si>
  <si>
    <t>currency</t>
  </si>
  <si>
    <t xml:space="preserve">cash </t>
  </si>
  <si>
    <t>customer gender</t>
  </si>
  <si>
    <t>start time</t>
  </si>
  <si>
    <t>duration</t>
  </si>
  <si>
    <t>end time</t>
  </si>
  <si>
    <t>Idle time</t>
  </si>
  <si>
    <t>low</t>
  </si>
  <si>
    <t>high</t>
  </si>
  <si>
    <t>integral</t>
  </si>
  <si>
    <t>step</t>
  </si>
  <si>
    <t>F</t>
  </si>
  <si>
    <t>M</t>
  </si>
  <si>
    <t>למילוי על ידי המשרד</t>
  </si>
  <si>
    <t>final grade</t>
  </si>
  <si>
    <t/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</si>
  <si>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</si>
  <si>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</si>
  <si>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</si>
  <si>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</si>
  <si>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</si>
  <si>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</si>
  <si>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</si>
  <si>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</si>
  <si>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</si>
  <si>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</si>
  <si>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Metrology1</t>
  </si>
  <si>
    <t>Metrology2</t>
  </si>
  <si>
    <t>Metrology3</t>
  </si>
  <si>
    <t>decision</t>
  </si>
  <si>
    <t>time</t>
  </si>
  <si>
    <t>done</t>
  </si>
  <si>
    <t>total metrology time:</t>
  </si>
  <si>
    <t>total metro time</t>
  </si>
  <si>
    <t>total machines monitored</t>
  </si>
  <si>
    <t>max machines monitored</t>
  </si>
  <si>
    <t>male</t>
  </si>
  <si>
    <t>female</t>
  </si>
  <si>
    <t>תוויות שורה</t>
  </si>
  <si>
    <t>סכום כולל</t>
  </si>
  <si>
    <t>ממוצע של duration</t>
  </si>
  <si>
    <t>תוויות עמודה</t>
  </si>
  <si>
    <t>(הכל)</t>
  </si>
  <si>
    <t>סך הכל ממוצע של duration</t>
  </si>
  <si>
    <t>סך הכל סטיית תקן של duration</t>
  </si>
  <si>
    <t>סטיית תקן של duration</t>
  </si>
  <si>
    <t>מינימום של start time</t>
  </si>
  <si>
    <t>מקסימום של end time</t>
  </si>
  <si>
    <t>סך הכל מינימום של start time</t>
  </si>
  <si>
    <t>סך הכל מקסימום של end time</t>
  </si>
  <si>
    <t>סכום של Idle time</t>
  </si>
  <si>
    <t>סך הכל סכום של Idle time</t>
  </si>
  <si>
    <t>נצילות = מקסימום זמן אפשרי פחות זמן בטלה חלקי מקסימום זמן אפשרי</t>
  </si>
  <si>
    <t>customer gender2</t>
  </si>
  <si>
    <t xml:space="preserve"> female</t>
  </si>
  <si>
    <t>נצילות</t>
  </si>
  <si>
    <t>הוסיפו מגבלה על מספר ההשמות למכונות הבדיקה בתאים H18:F18 .הגבילו את מספר הבדיקות שמכונת בדיקה 2 עושה ל-4.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</si>
</sst>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010409]d/m/yyyy\ h:mm;@"/>
    <numFmt numFmtId="165" formatCode="[$-F400]h:mm:ss\ AM/PM"/>
    <numFmt numFmtId="166" formatCode="0.0000%"/>
  </numFmts>
  <fonts count="5" x14ac:knownFonts="1">
    <font>
      <sz val="11"/>
      <color theme="1"/>
      <name val="Arial"/>
      <family val="2"/>
      <charset val="177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  <charset val="177"/>
      <scheme val="minor"/>
    </font>
    <font>
      <i/>
      <u/>
      <sz val="11"/>
      <color theme="1"/>
      <name val="Arial"/>
      <family val="2"/>
      <scheme val="minor"/>
    </font>
    <font>
      <b/>
      <sz val="11"/>
      <color theme="1"/>
      <name val="Arial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7">
    <xf numFmtId="0" fontId="0" fillId="0" borderId="0" xfId="0"/>
    <xf numFmtId="14" fontId="1" fillId="0" borderId="0" xfId="0" applyNumberFormat="1" applyFont="1"/>
    <xf numFmtId="0" fontId="1" fillId="0" borderId="0" xfId="0" applyFont="1"/>
    <xf numFmtId="164" fontId="0" fillId="0" borderId="0" xfId="0" applyNumberFormat="1"/>
    <xf numFmtId="20" fontId="0" fillId="0" borderId="0" xfId="0" applyNumberFormat="1"/>
    <xf numFmtId="165" fontId="0" fillId="0" borderId="0" xfId="0" applyNumberFormat="1"/>
    <xf numFmtId="0" fontId="3" fillId="0" borderId="0" xfId="0" applyFont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2" fontId="0" fillId="0" borderId="0" xfId="0" applyNumberFormat="1"/>
    <xf numFmtId="0" fontId="0" fillId="2" borderId="0" xfId="0" applyFill="1"/>
    <xf numFmtId="1" fontId="0" fillId="0" borderId="0" xfId="0" applyNumberFormat="1"/>
    <xf numFmtId="0" fontId="0" fillId="0" borderId="0" xfId="0" pivotButton="1"/>
    <xf numFmtId="0" fontId="4" fillId="0" borderId="9" xfId="0" applyFont="1" applyBorder="1" applyAlignment="1">
      <alignment horizontal="left"/>
    </xf>
    <xf numFmtId="22" fontId="0" fillId="0" borderId="0" xfId="0" applyNumberFormat="1"/>
    <xf numFmtId="21" fontId="0" fillId="0" borderId="0" xfId="0" applyNumberFormat="1"/>
    <xf numFmtId="166" fontId="1" fillId="0" borderId="0" xfId="1" applyNumberFormat="1" applyFont="1"/>
  </cellXfs>
  <cellStyles count="2">
    <cellStyle name="Normal" xfId="0" builtinId="0"/>
    <cellStyle name="Percent" xfId="1" builtinId="5"/>
  </cellStyles>
  <dxfs count="19">
    <dxf>
      <numFmt numFmtId="165" formatCode="[$-F400]h:mm:ss\ AM/PM"/>
    </dxf>
    <dxf>
      <numFmt numFmtId="165" formatCode="[$-F400]h:mm:ss\ AM/PM"/>
    </dxf>
    <dxf>
      <numFmt numFmtId="165" formatCode="[$-F400]h:mm:ss\ AM/PM"/>
    </dxf>
    <dxf>
      <numFmt numFmtId="165" formatCode="[$-F400]h:mm:ss\ AM/PM"/>
    </dxf>
    <dxf>
      <numFmt numFmtId="165" formatCode="[$-F400]h:mm:ss\ AM/PM"/>
    </dxf>
    <dxf>
      <numFmt numFmtId="165" formatCode="[$-F400]h:mm:ss\ AM/PM"/>
    </dxf>
    <dxf>
      <numFmt numFmtId="165" formatCode="[$-F400]h:mm:ss\ AM/PM"/>
    </dxf>
    <dxf>
      <numFmt numFmtId="165" formatCode="[$-F400]h:mm:ss\ AM/PM"/>
    </dxf>
    <dxf>
      <numFmt numFmtId="165" formatCode="[$-F400]h:mm:ss\ AM/PM"/>
    </dxf>
    <dxf>
      <numFmt numFmtId="164" formatCode="[$-1010409]d/m/yyyy\ h:mm;@"/>
    </dxf>
    <dxf>
      <numFmt numFmtId="164" formatCode="[$-1010409]d/m/yyyy\ h:mm;@"/>
    </dxf>
    <dxf>
      <numFmt numFmtId="165" formatCode="[$-F400]h:mm:ss\ AM/PM"/>
    </dxf>
    <dxf>
      <numFmt numFmtId="165" formatCode="[$-F400]h:mm:ss\ AM/PM"/>
    </dxf>
    <dxf>
      <numFmt numFmtId="165" formatCode="[$-F400]h:mm:ss\ AM/PM"/>
    </dxf>
    <dxf>
      <numFmt numFmtId="165" formatCode="[$-F400]h:mm:ss\ AM/PM"/>
    </dxf>
    <dxf>
      <numFmt numFmtId="26" formatCode="hh:mm:ss"/>
    </dxf>
    <dxf>
      <numFmt numFmtId="27" formatCode="dd/mm/yyyy\ hh:mm"/>
    </dxf>
    <dxf>
      <numFmt numFmtId="26" formatCode="hh:mm:ss"/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nan jacobs" refreshedDate="44727.423316782406" createdVersion="8" refreshedVersion="8" minRefreshableVersion="3" recordCount="57" xr:uid="{B7C8F376-1746-46F6-90A4-A998D2C2D967}">
  <cacheSource type="worksheet">
    <worksheetSource ref="D1:K58" sheet="1"/>
  </cacheSource>
  <cacheFields count="12">
    <cacheField name="start time" numFmtId="164">
      <sharedItems containsSemiMixedTypes="0" containsNonDate="0" containsDate="1" containsString="0" minDate="2001-04-12T08:00:00" maxDate="2001-04-12T10:44:19"/>
    </cacheField>
    <cacheField name="duration" numFmtId="165">
      <sharedItems containsSemiMixedTypes="0" containsNonDate="0" containsDate="1" containsString="0" minDate="1899-12-30T00:03:08" maxDate="1899-12-30T00:10:53" count="55">
        <d v="1899-12-30T00:07:32"/>
        <d v="1899-12-30T00:05:56"/>
        <d v="1899-12-30T00:08:33"/>
        <d v="1899-12-30T00:06:54"/>
        <d v="1899-12-30T00:08:40"/>
        <d v="1899-12-30T00:09:25"/>
        <d v="1899-12-30T00:10:11"/>
        <d v="1899-12-30T00:07:05"/>
        <d v="1899-12-30T00:06:23"/>
        <d v="1899-12-30T00:05:58"/>
        <d v="1899-12-30T00:09:03"/>
        <d v="1899-12-30T00:03:08"/>
        <d v="1899-12-30T00:04:51"/>
        <d v="1899-12-30T00:03:58"/>
        <d v="1899-12-30T00:07:55"/>
        <d v="1899-12-30T00:09:19"/>
        <d v="1899-12-30T00:03:37"/>
        <d v="1899-12-30T00:04:47"/>
        <d v="1899-12-30T00:06:13"/>
        <d v="1899-12-30T00:04:17"/>
        <d v="1899-12-30T00:04:21"/>
        <d v="1899-12-30T00:03:35"/>
        <d v="1899-12-30T00:03:34"/>
        <d v="1899-12-30T00:08:04"/>
        <d v="1899-12-30T00:08:47"/>
        <d v="1899-12-30T00:09:12"/>
        <d v="1899-12-30T00:09:43"/>
        <d v="1899-12-30T00:05:23"/>
        <d v="1899-12-30T00:04:32"/>
        <d v="1899-12-30T00:08:58"/>
        <d v="1899-12-30T00:10:48"/>
        <d v="1899-12-30T00:04:49"/>
        <d v="1899-12-30T00:05:49"/>
        <d v="1899-12-30T00:03:41"/>
        <d v="1899-12-30T00:07:48"/>
        <d v="1899-12-30T00:10:53"/>
        <d v="1899-12-30T00:08:53"/>
        <d v="1899-12-30T00:05:40"/>
        <d v="1899-12-30T00:06:02"/>
        <d v="1899-12-30T00:07:11"/>
        <d v="1899-12-30T00:08:29"/>
        <d v="1899-12-30T00:08:44"/>
        <d v="1899-12-30T00:07:39"/>
        <d v="1899-12-30T00:04:04"/>
        <d v="1899-12-30T00:08:12"/>
        <d v="1899-12-30T00:07:40"/>
        <d v="1899-12-30T00:08:45"/>
        <d v="1899-12-30T00:10:07"/>
        <d v="1899-12-30T00:07:09"/>
        <d v="1899-12-30T00:08:09"/>
        <d v="1899-12-30T00:07:17"/>
        <d v="1899-12-30T00:09:46"/>
        <d v="1899-12-30T00:04:13"/>
        <d v="1899-12-30T00:09:06"/>
        <d v="1899-12-30T00:05:21"/>
      </sharedItems>
      <fieldGroup par="9" base="1">
        <rangePr groupBy="seconds" startDate="1899-12-30T00:03:08" endDate="1899-12-30T00:10:53"/>
        <groupItems count="62">
          <s v="&lt;00/01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0/01/1900"/>
        </groupItems>
      </fieldGroup>
    </cacheField>
    <cacheField name="end time" numFmtId="164">
      <sharedItems containsSemiMixedTypes="0" containsNonDate="0" containsDate="1" containsString="0" minDate="2001-04-12T08:05:40" maxDate="2001-04-12T10:54:26" count="56">
        <d v="2001-04-12T08:07:32"/>
        <d v="2001-04-12T08:15:16"/>
        <d v="2001-04-12T08:26:25"/>
        <d v="2001-04-12T08:35:36"/>
        <d v="2001-04-12T08:46:27"/>
        <d v="2001-04-12T08:55:52"/>
        <d v="2001-04-12T09:06:03"/>
        <d v="2001-04-12T09:15:13"/>
        <d v="2001-04-12T09:26:02"/>
        <d v="2001-04-12T09:36:17"/>
        <d v="2001-04-12T09:42:14"/>
        <d v="2001-04-12T09:51:38"/>
        <d v="2001-04-12T09:55:56"/>
        <d v="2001-04-12T10:04:33"/>
        <d v="2001-04-12T10:09:25"/>
        <d v="2001-04-12T10:20:09"/>
        <d v="2001-04-12T10:30:33"/>
        <d v="2001-04-12T10:37:34"/>
        <d v="2001-04-12T10:46:34"/>
        <d v="2001-04-12T08:06:13"/>
        <d v="2001-04-12T08:10:30"/>
        <d v="2001-04-12T08:15:51"/>
        <d v="2001-04-12T08:21:25"/>
        <d v="2001-04-12T08:28:48"/>
        <d v="2001-04-12T08:39:06"/>
        <d v="2001-04-12T08:52:02"/>
        <d v="2001-04-12T09:01:24"/>
        <d v="2001-04-12T09:11:38"/>
        <d v="2001-04-12T09:20:16"/>
        <d v="2001-04-12T09:29:03"/>
        <d v="2001-04-12T09:38:01"/>
        <d v="2001-04-12T09:48:49"/>
        <d v="2001-04-12T09:53:47"/>
        <d v="2001-04-12T10:03:42"/>
        <d v="2001-04-12T10:10:49"/>
        <d v="2001-04-12T10:22:24"/>
        <d v="2001-04-12T10:34:39"/>
        <d v="2001-04-12T10:43:32"/>
        <d v="2001-04-12T08:05:40"/>
        <d v="2001-04-12T08:16:27"/>
        <d v="2001-04-12T08:27:51"/>
        <d v="2001-04-12T08:49:31"/>
        <d v="2001-04-12T08:57:10"/>
        <d v="2001-04-12T09:01:14"/>
        <d v="2001-04-12T09:09:26"/>
        <d v="2001-04-12T09:19:51"/>
        <d v="2001-04-12T09:32:46"/>
        <d v="2001-04-12T09:42:53"/>
        <d v="2001-04-12T09:51:56"/>
        <d v="2001-04-12T10:03:25"/>
        <d v="2001-04-12T10:12:21"/>
        <d v="2001-04-12T10:22:06"/>
        <d v="2001-04-12T10:26:19"/>
        <d v="2001-04-12T10:35:25"/>
        <d v="2001-04-12T10:40:46"/>
        <d v="2001-04-12T10:54:26"/>
      </sharedItems>
    </cacheField>
    <cacheField name="Idle time" numFmtId="165">
      <sharedItems containsNonDate="0" containsDate="1" containsString="0" containsBlank="1" minDate="1899-12-30T00:00:00" maxDate="1899-12-30T00:04:46" count="41">
        <d v="1899-12-30T00:01:47"/>
        <d v="1899-12-30T00:02:36"/>
        <d v="1899-12-30T00:02:17"/>
        <d v="1899-12-30T00:02:11"/>
        <d v="1899-12-30T00:00:00"/>
        <d v="1899-12-30T00:02:05"/>
        <d v="1899-12-30T00:01:25"/>
        <d v="1899-12-30T00:03:51"/>
        <d v="1899-12-30T00:00:20"/>
        <d v="1899-12-30T00:01:10"/>
        <d v="1899-12-30T00:03:46"/>
        <d v="1899-12-30T00:00:53"/>
        <d v="1899-12-30T00:02:49"/>
        <d v="1899-12-30T00:01:05"/>
        <d v="1899-12-30T00:03:24"/>
        <d v="1899-12-30T00:04:14"/>
        <m/>
        <d v="1899-12-30T00:01:01"/>
        <d v="1899-12-30T00:01:58"/>
        <d v="1899-12-30T00:03:49"/>
        <d v="1899-12-30T00:02:14"/>
        <d v="1899-12-30T00:04:09"/>
        <d v="1899-12-30T00:00:10"/>
        <d v="1899-12-30T00:00:31"/>
        <d v="1899-12-30T00:03:15"/>
        <d v="1899-12-30T00:04:15"/>
        <d v="1899-12-30T00:00:08"/>
        <d v="1899-12-30T00:04:06"/>
        <d v="1899-12-30T00:03:26"/>
        <d v="1899-12-30T00:03:47"/>
        <d v="1899-12-30T00:01:22"/>
        <d v="1899-12-30T00:04:46"/>
        <d v="1899-12-30T00:04:12"/>
        <d v="1899-12-30T00:02:46"/>
        <d v="1899-12-30T00:01:41"/>
        <d v="1899-12-30T00:02:45"/>
        <d v="1899-12-30T00:04:10"/>
        <d v="1899-12-30T00:01:54"/>
        <d v="1899-12-30T00:03:20"/>
        <d v="1899-12-30T00:01:39"/>
        <d v="1899-12-30T00:03:32"/>
      </sharedItems>
      <fieldGroup par="11" base="3">
        <rangePr groupBy="seconds" startDate="1899-12-30T00:00:00" endDate="1899-12-30T00:04:46"/>
        <groupItems count="62">
          <s v="(ריק)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0/01/1900"/>
        </groupItems>
      </fieldGroup>
    </cacheField>
    <cacheField name="teller" numFmtId="0">
      <sharedItems count="3">
        <s v="Glendora Machen"/>
        <s v="Korey Brookover  "/>
        <s v="Vada Mushrush"/>
      </sharedItems>
    </cacheField>
    <cacheField name="transaction" numFmtId="0">
      <sharedItems count="3">
        <s v="cash "/>
        <s v="account"/>
        <s v="currency"/>
      </sharedItems>
    </cacheField>
    <cacheField name="customer gender" numFmtId="0">
      <sharedItems count="2">
        <s v="male"/>
        <s v="female"/>
      </sharedItems>
    </cacheField>
    <cacheField name="customer gender2" numFmtId="0">
      <sharedItems/>
    </cacheField>
    <cacheField name="דקות" numFmtId="0" databaseField="0">
      <fieldGroup base="1">
        <rangePr groupBy="minutes" startDate="1899-12-30T00:03:08" endDate="1899-12-30T00:10:53"/>
        <groupItems count="62">
          <s v="&lt;00/01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0/01/1900"/>
        </groupItems>
      </fieldGroup>
    </cacheField>
    <cacheField name="שעות" numFmtId="0" databaseField="0">
      <fieldGroup base="1">
        <rangePr groupBy="hours" startDate="1899-12-30T00:03:08" endDate="1899-12-30T00:10:53"/>
        <groupItems count="26">
          <s v="&lt;00/01/1900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0/01/1900"/>
        </groupItems>
      </fieldGroup>
    </cacheField>
    <cacheField name="דקות2" numFmtId="0" databaseField="0">
      <fieldGroup base="3">
        <rangePr groupBy="minutes" startDate="1899-12-30T00:00:00" endDate="1899-12-30T00:04:46"/>
        <groupItems count="62">
          <s v="&lt;00/01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0/01/1900"/>
        </groupItems>
      </fieldGroup>
    </cacheField>
    <cacheField name="שעות2" numFmtId="0" databaseField="0">
      <fieldGroup base="3">
        <rangePr groupBy="hours" startDate="1899-12-30T00:00:00" endDate="1899-12-30T00:04:46"/>
        <groupItems count="26">
          <s v="&lt;00/01/1900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0/01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d v="2001-04-12T08:00:00"/>
    <x v="0"/>
    <x v="0"/>
    <x v="0"/>
    <x v="0"/>
    <x v="0"/>
    <x v="0"/>
    <s v=" female"/>
  </r>
  <r>
    <d v="2001-04-12T08:09:19"/>
    <x v="1"/>
    <x v="1"/>
    <x v="1"/>
    <x v="0"/>
    <x v="1"/>
    <x v="0"/>
    <s v=" female"/>
  </r>
  <r>
    <d v="2001-04-12T08:17:52"/>
    <x v="2"/>
    <x v="2"/>
    <x v="2"/>
    <x v="0"/>
    <x v="0"/>
    <x v="1"/>
    <s v="male"/>
  </r>
  <r>
    <d v="2001-04-12T08:28:42"/>
    <x v="3"/>
    <x v="3"/>
    <x v="3"/>
    <x v="0"/>
    <x v="0"/>
    <x v="1"/>
    <s v=" female"/>
  </r>
  <r>
    <d v="2001-04-12T08:37:46"/>
    <x v="4"/>
    <x v="4"/>
    <x v="4"/>
    <x v="0"/>
    <x v="2"/>
    <x v="0"/>
    <s v=" female"/>
  </r>
  <r>
    <d v="2001-04-12T08:46:27"/>
    <x v="5"/>
    <x v="5"/>
    <x v="4"/>
    <x v="0"/>
    <x v="2"/>
    <x v="1"/>
    <s v="male"/>
  </r>
  <r>
    <d v="2001-04-12T08:55:52"/>
    <x v="6"/>
    <x v="6"/>
    <x v="5"/>
    <x v="0"/>
    <x v="2"/>
    <x v="1"/>
    <s v=" female"/>
  </r>
  <r>
    <d v="2001-04-12T09:08:08"/>
    <x v="7"/>
    <x v="7"/>
    <x v="6"/>
    <x v="0"/>
    <x v="2"/>
    <x v="0"/>
    <s v=" female"/>
  </r>
  <r>
    <d v="2001-04-12T09:16:38"/>
    <x v="5"/>
    <x v="8"/>
    <x v="7"/>
    <x v="0"/>
    <x v="1"/>
    <x v="1"/>
    <s v=" female"/>
  </r>
  <r>
    <d v="2001-04-12T09:29:53"/>
    <x v="8"/>
    <x v="9"/>
    <x v="4"/>
    <x v="0"/>
    <x v="1"/>
    <x v="1"/>
    <s v=" female"/>
  </r>
  <r>
    <d v="2001-04-12T09:36:17"/>
    <x v="9"/>
    <x v="10"/>
    <x v="8"/>
    <x v="0"/>
    <x v="2"/>
    <x v="1"/>
    <s v="male"/>
  </r>
  <r>
    <d v="2001-04-12T09:42:34"/>
    <x v="10"/>
    <x v="11"/>
    <x v="9"/>
    <x v="0"/>
    <x v="2"/>
    <x v="0"/>
    <s v="male"/>
  </r>
  <r>
    <d v="2001-04-12T09:52:48"/>
    <x v="11"/>
    <x v="12"/>
    <x v="10"/>
    <x v="0"/>
    <x v="1"/>
    <x v="1"/>
    <s v=" female"/>
  </r>
  <r>
    <d v="2001-04-12T09:59:42"/>
    <x v="12"/>
    <x v="13"/>
    <x v="11"/>
    <x v="0"/>
    <x v="2"/>
    <x v="1"/>
    <s v="male"/>
  </r>
  <r>
    <d v="2001-04-12T10:05:27"/>
    <x v="13"/>
    <x v="14"/>
    <x v="12"/>
    <x v="0"/>
    <x v="1"/>
    <x v="1"/>
    <s v=" female"/>
  </r>
  <r>
    <d v="2001-04-12T10:12:14"/>
    <x v="14"/>
    <x v="15"/>
    <x v="13"/>
    <x v="0"/>
    <x v="2"/>
    <x v="1"/>
    <s v=" female"/>
  </r>
  <r>
    <d v="2001-04-12T10:21:14"/>
    <x v="15"/>
    <x v="16"/>
    <x v="14"/>
    <x v="0"/>
    <x v="2"/>
    <x v="1"/>
    <s v="male"/>
  </r>
  <r>
    <d v="2001-04-12T10:33:57"/>
    <x v="16"/>
    <x v="17"/>
    <x v="15"/>
    <x v="0"/>
    <x v="2"/>
    <x v="0"/>
    <s v=" female"/>
  </r>
  <r>
    <d v="2001-04-12T10:41:47"/>
    <x v="17"/>
    <x v="18"/>
    <x v="16"/>
    <x v="0"/>
    <x v="2"/>
    <x v="1"/>
    <s v=" female"/>
  </r>
  <r>
    <d v="2001-04-12T08:00:00"/>
    <x v="18"/>
    <x v="19"/>
    <x v="4"/>
    <x v="1"/>
    <x v="2"/>
    <x v="1"/>
    <s v=" female"/>
  </r>
  <r>
    <d v="2001-04-12T08:06:13"/>
    <x v="19"/>
    <x v="20"/>
    <x v="17"/>
    <x v="1"/>
    <x v="2"/>
    <x v="0"/>
    <s v="male"/>
  </r>
  <r>
    <d v="2001-04-12T08:11:31"/>
    <x v="20"/>
    <x v="21"/>
    <x v="18"/>
    <x v="1"/>
    <x v="0"/>
    <x v="1"/>
    <s v="male"/>
  </r>
  <r>
    <d v="2001-04-12T08:17:50"/>
    <x v="21"/>
    <x v="22"/>
    <x v="19"/>
    <x v="1"/>
    <x v="0"/>
    <x v="1"/>
    <s v="male"/>
  </r>
  <r>
    <d v="2001-04-12T08:25:13"/>
    <x v="22"/>
    <x v="23"/>
    <x v="20"/>
    <x v="1"/>
    <x v="0"/>
    <x v="1"/>
    <s v=" female"/>
  </r>
  <r>
    <d v="2001-04-12T08:31:02"/>
    <x v="23"/>
    <x v="24"/>
    <x v="21"/>
    <x v="1"/>
    <x v="0"/>
    <x v="1"/>
    <s v=" female"/>
  </r>
  <r>
    <d v="2001-04-12T08:43:15"/>
    <x v="24"/>
    <x v="25"/>
    <x v="22"/>
    <x v="1"/>
    <x v="1"/>
    <x v="1"/>
    <s v=" female"/>
  </r>
  <r>
    <d v="2001-04-12T08:52:13"/>
    <x v="25"/>
    <x v="26"/>
    <x v="23"/>
    <x v="1"/>
    <x v="2"/>
    <x v="0"/>
    <s v=" female"/>
  </r>
  <r>
    <d v="2001-04-12T09:01:55"/>
    <x v="26"/>
    <x v="27"/>
    <x v="24"/>
    <x v="1"/>
    <x v="1"/>
    <x v="1"/>
    <s v="male"/>
  </r>
  <r>
    <d v="2001-04-12T09:14:53"/>
    <x v="27"/>
    <x v="28"/>
    <x v="25"/>
    <x v="1"/>
    <x v="2"/>
    <x v="0"/>
    <s v="male"/>
  </r>
  <r>
    <d v="2001-04-12T09:24:31"/>
    <x v="28"/>
    <x v="29"/>
    <x v="4"/>
    <x v="1"/>
    <x v="1"/>
    <x v="1"/>
    <s v=" female"/>
  </r>
  <r>
    <d v="2001-04-12T09:29:03"/>
    <x v="29"/>
    <x v="30"/>
    <x v="4"/>
    <x v="1"/>
    <x v="0"/>
    <x v="1"/>
    <s v=" female"/>
  </r>
  <r>
    <d v="2001-04-12T09:38:01"/>
    <x v="30"/>
    <x v="31"/>
    <x v="26"/>
    <x v="1"/>
    <x v="1"/>
    <x v="0"/>
    <s v=" female"/>
  </r>
  <r>
    <d v="2001-04-12T09:48:58"/>
    <x v="31"/>
    <x v="32"/>
    <x v="27"/>
    <x v="1"/>
    <x v="0"/>
    <x v="1"/>
    <s v=" female"/>
  </r>
  <r>
    <d v="2001-04-12T09:57:53"/>
    <x v="32"/>
    <x v="33"/>
    <x v="28"/>
    <x v="1"/>
    <x v="0"/>
    <x v="1"/>
    <s v=" female"/>
  </r>
  <r>
    <d v="2001-04-12T10:07:08"/>
    <x v="33"/>
    <x v="34"/>
    <x v="29"/>
    <x v="1"/>
    <x v="0"/>
    <x v="1"/>
    <s v=" female"/>
  </r>
  <r>
    <d v="2001-04-12T10:14:36"/>
    <x v="34"/>
    <x v="35"/>
    <x v="30"/>
    <x v="1"/>
    <x v="0"/>
    <x v="0"/>
    <s v="male"/>
  </r>
  <r>
    <d v="2001-04-12T10:23:46"/>
    <x v="35"/>
    <x v="36"/>
    <x v="4"/>
    <x v="1"/>
    <x v="2"/>
    <x v="1"/>
    <s v=" female"/>
  </r>
  <r>
    <d v="2001-04-12T10:34:39"/>
    <x v="36"/>
    <x v="37"/>
    <x v="16"/>
    <x v="1"/>
    <x v="1"/>
    <x v="1"/>
    <s v=" female"/>
  </r>
  <r>
    <d v="2001-04-12T08:00:00"/>
    <x v="37"/>
    <x v="38"/>
    <x v="31"/>
    <x v="2"/>
    <x v="0"/>
    <x v="1"/>
    <s v="male"/>
  </r>
  <r>
    <d v="2001-04-12T08:10:25"/>
    <x v="38"/>
    <x v="39"/>
    <x v="32"/>
    <x v="2"/>
    <x v="2"/>
    <x v="1"/>
    <s v=" female"/>
  </r>
  <r>
    <d v="2001-04-12T08:20:40"/>
    <x v="39"/>
    <x v="40"/>
    <x v="33"/>
    <x v="2"/>
    <x v="1"/>
    <x v="1"/>
    <s v=" female"/>
  </r>
  <r>
    <d v="2001-04-12T08:30:37"/>
    <x v="40"/>
    <x v="24"/>
    <x v="34"/>
    <x v="2"/>
    <x v="0"/>
    <x v="0"/>
    <s v=" female"/>
  </r>
  <r>
    <d v="2001-04-12T08:40:47"/>
    <x v="41"/>
    <x v="41"/>
    <x v="4"/>
    <x v="2"/>
    <x v="1"/>
    <x v="1"/>
    <s v="male"/>
  </r>
  <r>
    <d v="2001-04-12T08:49:31"/>
    <x v="42"/>
    <x v="42"/>
    <x v="4"/>
    <x v="2"/>
    <x v="0"/>
    <x v="1"/>
    <s v="male"/>
  </r>
  <r>
    <d v="2001-04-12T08:57:10"/>
    <x v="43"/>
    <x v="43"/>
    <x v="4"/>
    <x v="2"/>
    <x v="1"/>
    <x v="0"/>
    <s v=" female"/>
  </r>
  <r>
    <d v="2001-04-12T09:01:14"/>
    <x v="44"/>
    <x v="44"/>
    <x v="35"/>
    <x v="2"/>
    <x v="2"/>
    <x v="1"/>
    <s v=" female"/>
  </r>
  <r>
    <d v="2001-04-12T09:12:11"/>
    <x v="45"/>
    <x v="45"/>
    <x v="36"/>
    <x v="2"/>
    <x v="1"/>
    <x v="1"/>
    <s v=" female"/>
  </r>
  <r>
    <d v="2001-04-12T09:24:01"/>
    <x v="46"/>
    <x v="46"/>
    <x v="4"/>
    <x v="2"/>
    <x v="1"/>
    <x v="0"/>
    <s v=" female"/>
  </r>
  <r>
    <d v="2001-04-12T09:32:46"/>
    <x v="47"/>
    <x v="47"/>
    <x v="37"/>
    <x v="2"/>
    <x v="0"/>
    <x v="0"/>
    <s v=" female"/>
  </r>
  <r>
    <d v="2001-04-12T09:44:47"/>
    <x v="48"/>
    <x v="48"/>
    <x v="38"/>
    <x v="2"/>
    <x v="0"/>
    <x v="1"/>
    <s v=" female"/>
  </r>
  <r>
    <d v="2001-04-12T09:55:16"/>
    <x v="49"/>
    <x v="49"/>
    <x v="39"/>
    <x v="2"/>
    <x v="0"/>
    <x v="1"/>
    <s v="male"/>
  </r>
  <r>
    <d v="2001-04-12T10:05:04"/>
    <x v="50"/>
    <x v="50"/>
    <x v="4"/>
    <x v="2"/>
    <x v="0"/>
    <x v="1"/>
    <s v=" female"/>
  </r>
  <r>
    <d v="2001-04-12T10:12:21"/>
    <x v="51"/>
    <x v="51"/>
    <x v="4"/>
    <x v="2"/>
    <x v="1"/>
    <x v="0"/>
    <s v="male"/>
  </r>
  <r>
    <d v="2001-04-12T10:22:06"/>
    <x v="52"/>
    <x v="52"/>
    <x v="4"/>
    <x v="2"/>
    <x v="0"/>
    <x v="0"/>
    <s v=" female"/>
  </r>
  <r>
    <d v="2001-04-12T10:26:19"/>
    <x v="53"/>
    <x v="53"/>
    <x v="4"/>
    <x v="2"/>
    <x v="1"/>
    <x v="1"/>
    <s v=" female"/>
  </r>
  <r>
    <d v="2001-04-12T10:35:25"/>
    <x v="54"/>
    <x v="54"/>
    <x v="40"/>
    <x v="2"/>
    <x v="1"/>
    <x v="0"/>
    <s v=" female"/>
  </r>
  <r>
    <d v="2001-04-12T10:44:19"/>
    <x v="47"/>
    <x v="55"/>
    <x v="16"/>
    <x v="2"/>
    <x v="0"/>
    <x v="1"/>
    <s v=" femal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DB37BA-3CCA-4862-AFE1-DAC2EA8420A9}" name="PivotTable2" cacheId="0" dataOnRows="1" applyNumberFormats="0" applyBorderFormats="0" applyFontFormats="0" applyPatternFormats="0" applyAlignmentFormats="0" applyWidthHeightFormats="1" dataCaption="ערכים" updatedVersion="8" minRefreshableVersion="3" useAutoFormatting="1" itemPrintTitles="1" createdVersion="8" indent="0" outline="1" outlineData="1" multipleFieldFilters="0" chartFormat="1">
  <location ref="M20:N35" firstHeaderRow="1" firstDataRow="1" firstDataCol="1"/>
  <pivotFields count="12">
    <pivotField dataField="1" numFmtId="164" showAll="0"/>
    <pivotField numFmtId="165" showAll="0"/>
    <pivotField dataField="1" numFmtId="164" showAll="0">
      <items count="57">
        <item x="38"/>
        <item x="19"/>
        <item x="0"/>
        <item x="20"/>
        <item x="1"/>
        <item x="21"/>
        <item x="39"/>
        <item x="22"/>
        <item x="2"/>
        <item x="40"/>
        <item x="23"/>
        <item x="3"/>
        <item x="24"/>
        <item x="4"/>
        <item x="41"/>
        <item x="25"/>
        <item x="5"/>
        <item x="42"/>
        <item x="43"/>
        <item x="26"/>
        <item x="6"/>
        <item x="44"/>
        <item x="27"/>
        <item x="7"/>
        <item x="45"/>
        <item x="28"/>
        <item x="8"/>
        <item x="29"/>
        <item x="46"/>
        <item x="9"/>
        <item x="30"/>
        <item x="10"/>
        <item x="47"/>
        <item x="31"/>
        <item x="11"/>
        <item x="48"/>
        <item x="32"/>
        <item x="12"/>
        <item x="49"/>
        <item x="33"/>
        <item x="13"/>
        <item x="14"/>
        <item x="34"/>
        <item x="50"/>
        <item x="15"/>
        <item x="51"/>
        <item x="35"/>
        <item x="52"/>
        <item x="16"/>
        <item x="36"/>
        <item x="53"/>
        <item x="17"/>
        <item x="54"/>
        <item x="37"/>
        <item x="18"/>
        <item x="55"/>
        <item t="default"/>
      </items>
    </pivotField>
    <pivotField dataField="1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6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</items>
    </pivotField>
    <pivotField showAll="0" defaultSubtotal="0">
      <items count="2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</items>
    </pivotField>
  </pivotFields>
  <rowFields count="2">
    <field x="4"/>
    <field x="-2"/>
  </rowFields>
  <rowItems count="15">
    <i>
      <x/>
    </i>
    <i r="1">
      <x/>
    </i>
    <i r="1" i="1">
      <x v="1"/>
    </i>
    <i r="1" i="2">
      <x v="2"/>
    </i>
    <i>
      <x v="1"/>
    </i>
    <i r="1">
      <x/>
    </i>
    <i r="1" i="1">
      <x v="1"/>
    </i>
    <i r="1" i="2">
      <x v="2"/>
    </i>
    <i>
      <x v="2"/>
    </i>
    <i r="1">
      <x/>
    </i>
    <i r="1" i="1">
      <x v="1"/>
    </i>
    <i r="1" i="2">
      <x v="2"/>
    </i>
    <i t="grand">
      <x/>
    </i>
    <i t="grand" i="1">
      <x/>
    </i>
    <i t="grand" i="2">
      <x/>
    </i>
  </rowItems>
  <colItems count="1">
    <i/>
  </colItems>
  <dataFields count="3">
    <dataField name="מינימום של start time" fld="0" subtotal="min" baseField="4" baseItem="0" numFmtId="164"/>
    <dataField name="מקסימום של end time" fld="2" subtotal="max" baseField="4" baseItem="0"/>
    <dataField name="סכום של Idle time" fld="3" baseField="4" baseItem="0"/>
  </dataFields>
  <formats count="11">
    <format dxfId="1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">
      <pivotArea collapsedLevelsAreSubtotals="1" fieldPosition="0">
        <references count="2">
          <reference field="4294967294" count="1" selected="0">
            <x v="1"/>
          </reference>
          <reference field="4" count="1">
            <x v="0"/>
          </reference>
        </references>
      </pivotArea>
    </format>
    <format dxfId="8">
      <pivotArea collapsedLevelsAreSubtotals="1" fieldPosition="0">
        <references count="2">
          <reference field="4294967294" count="2">
            <x v="0"/>
            <x v="1"/>
          </reference>
          <reference field="4" count="1" selected="0">
            <x v="0"/>
          </reference>
        </references>
      </pivotArea>
    </format>
    <format dxfId="7">
      <pivotArea collapsedLevelsAreSubtotals="1" fieldPosition="0">
        <references count="1">
          <reference field="4" count="1">
            <x v="1"/>
          </reference>
        </references>
      </pivotArea>
    </format>
    <format dxfId="6">
      <pivotArea collapsedLevelsAreSubtotals="1" fieldPosition="0">
        <references count="2">
          <reference field="4294967294" count="2">
            <x v="0"/>
            <x v="1"/>
          </reference>
          <reference field="4" count="1" selected="0">
            <x v="1"/>
          </reference>
        </references>
      </pivotArea>
    </format>
    <format dxfId="5">
      <pivotArea collapsedLevelsAreSubtotals="1" fieldPosition="0">
        <references count="1">
          <reference field="4" count="1">
            <x v="2"/>
          </reference>
        </references>
      </pivotArea>
    </format>
    <format dxfId="4">
      <pivotArea collapsedLevelsAreSubtotals="1" fieldPosition="0">
        <references count="2">
          <reference field="4294967294" count="2">
            <x v="0"/>
            <x v="1"/>
          </reference>
          <reference field="4" count="1" selected="0">
            <x v="2"/>
          </reference>
        </references>
      </pivotArea>
    </format>
    <format dxfId="3">
      <pivotArea field="4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2">
      <pivotArea collapsedLevelsAreSubtotals="1" fieldPosition="0">
        <references count="2">
          <reference field="4294967294" count="1">
            <x v="2"/>
          </reference>
          <reference field="4" count="1" selected="0">
            <x v="0"/>
          </reference>
        </references>
      </pivotArea>
    </format>
    <format dxfId="1">
      <pivotArea collapsedLevelsAreSubtotals="1" fieldPosition="0">
        <references count="2">
          <reference field="4294967294" count="1">
            <x v="2"/>
          </reference>
          <reference field="4" count="1" selected="0">
            <x v="1"/>
          </reference>
        </references>
      </pivotArea>
    </format>
    <format dxfId="0">
      <pivotArea collapsedLevelsAreSubtotals="1" fieldPosition="0">
        <references count="2">
          <reference field="4294967294" count="1">
            <x v="2"/>
          </reference>
          <reference field="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D9C6A4-6113-4200-BC16-84FD1A03291E}" name="PivotTable1" cacheId="0" dataOnRows="1" applyNumberFormats="0" applyBorderFormats="0" applyFontFormats="0" applyPatternFormats="0" applyAlignmentFormats="0" applyWidthHeightFormats="1" dataCaption="ערכים" updatedVersion="8" minRefreshableVersion="3" useAutoFormatting="1" itemPrintTitles="1" createdVersion="8" indent="0" outline="1" outlineData="1" multipleFieldFilters="0" chartFormat="1">
  <location ref="M3:Q15" firstHeaderRow="1" firstDataRow="2" firstDataCol="1" rowPageCount="1" colPageCount="1"/>
  <pivotFields count="12">
    <pivotField numFmtId="164" showAll="0"/>
    <pivotField dataField="1" numFmtId="165" showAll="0" defaultSubtotal="0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</items>
    </pivotField>
    <pivotField numFmtId="164" showAll="0" avgSubtotal="1">
      <items count="57">
        <item x="38"/>
        <item x="19"/>
        <item x="0"/>
        <item x="20"/>
        <item x="1"/>
        <item x="21"/>
        <item x="39"/>
        <item x="22"/>
        <item x="2"/>
        <item x="40"/>
        <item x="23"/>
        <item x="3"/>
        <item x="24"/>
        <item x="4"/>
        <item x="41"/>
        <item x="25"/>
        <item x="5"/>
        <item x="42"/>
        <item x="43"/>
        <item x="26"/>
        <item x="6"/>
        <item x="44"/>
        <item x="27"/>
        <item x="7"/>
        <item x="45"/>
        <item x="28"/>
        <item x="8"/>
        <item x="29"/>
        <item x="46"/>
        <item x="9"/>
        <item x="30"/>
        <item x="10"/>
        <item x="47"/>
        <item x="31"/>
        <item x="11"/>
        <item x="48"/>
        <item x="32"/>
        <item x="12"/>
        <item x="49"/>
        <item x="33"/>
        <item x="13"/>
        <item x="14"/>
        <item x="34"/>
        <item x="50"/>
        <item x="15"/>
        <item x="51"/>
        <item x="35"/>
        <item x="52"/>
        <item x="16"/>
        <item x="36"/>
        <item x="53"/>
        <item x="17"/>
        <item x="54"/>
        <item x="37"/>
        <item x="18"/>
        <item x="55"/>
        <item t="avg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axis="axisRow" showAll="0">
      <items count="4">
        <item sd="0" x="0"/>
        <item x="1"/>
        <item sd="0" x="2"/>
        <item t="default" sd="0"/>
      </items>
    </pivotField>
    <pivotField axis="axisCol" showAll="0">
      <items count="4">
        <item x="1"/>
        <item x="0"/>
        <item x="2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 avgSubtotal="1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avg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2">
    <field x="4"/>
    <field x="-2"/>
  </rowFields>
  <rowItems count="11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 t="grand">
      <x/>
    </i>
    <i t="grand" i="1">
      <x/>
    </i>
  </rowItems>
  <colFields count="1">
    <field x="5"/>
  </colFields>
  <colItems count="4">
    <i>
      <x/>
    </i>
    <i>
      <x v="1"/>
    </i>
    <i>
      <x v="2"/>
    </i>
    <i t="grand">
      <x/>
    </i>
  </colItems>
  <pageFields count="1">
    <pageField fld="6" hier="-1"/>
  </pageFields>
  <dataFields count="2">
    <dataField name="סטיית תקן של duration" fld="1" subtotal="stdDev" baseField="4" baseItem="1"/>
    <dataField name="ממוצע של duration" fld="1" subtotal="average" baseField="4" baseItem="0"/>
  </dataFields>
  <formats count="4">
    <format dxfId="14">
      <pivotArea collapsedLevelsAreSubtotals="1" fieldPosition="0">
        <references count="1">
          <reference field="4" count="1">
            <x v="0"/>
          </reference>
        </references>
      </pivotArea>
    </format>
    <format dxfId="13">
      <pivotArea collapsedLevelsAreSubtotals="1" fieldPosition="0">
        <references count="1">
          <reference field="4" count="1">
            <x v="1"/>
          </reference>
        </references>
      </pivotArea>
    </format>
    <format dxfId="12">
      <pivotArea collapsedLevelsAreSubtotals="1" fieldPosition="0">
        <references count="1">
          <reference field="4" count="1">
            <x v="2"/>
          </reference>
        </references>
      </pivotArea>
    </format>
    <format dxfId="1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013AD9-0FBF-4FF1-BE1C-41BE07B0BEAF}" name="טבלה1" displayName="טבלה1" ref="A1:H2" totalsRowShown="0">
  <autoFilter ref="A1:H2" xr:uid="{71013AD9-0FBF-4FF1-BE1C-41BE07B0BEAF}"/>
  <tableColumns count="8">
    <tableColumn id="1" xr3:uid="{94493517-0CE8-42B3-9860-F63709D66656}" name="start time" dataDxfId="18"/>
    <tableColumn id="2" xr3:uid="{6A36C32F-B70B-417B-92EB-53829AC08032}" name="duration" dataDxfId="17"/>
    <tableColumn id="3" xr3:uid="{87EF52D3-8969-404B-B64B-F8685A2B7B36}" name="end time" dataDxfId="16"/>
    <tableColumn id="4" xr3:uid="{8F8D77F6-58E7-4861-914C-D19FC6D10F3A}" name="Idle time" dataDxfId="15"/>
    <tableColumn id="5" xr3:uid="{571F23BB-3427-401E-96BA-F9FE50615514}" name="teller"/>
    <tableColumn id="6" xr3:uid="{E4CEDBC0-2795-4321-9FFA-1FFDB6919BAA}" name="transaction"/>
    <tableColumn id="7" xr3:uid="{32CE757D-5874-46ED-843F-4752202A0214}" name="customer gender"/>
    <tableColumn id="8" xr3:uid="{00CE9D26-1DFC-4CA5-B5EE-5E04A942EC0F}" name="customer gender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1:Q58"/>
  <sheetViews>
    <sheetView workbookViewId="0">
      <selection activeCell="F6" sqref="F6"/>
    </sheetView>
  </sheetViews>
  <sheetFormatPr defaultRowHeight="14" x14ac:dyDescent="0.3"/>
  <cols>
    <col min="1" max="1" width="16.6640625" bestFit="1" customWidth="1"/>
    <col min="4" max="4" width="14" bestFit="1" customWidth="1"/>
    <col min="5" max="7" width="15" customWidth="1"/>
    <col min="8" max="8" width="15.4140625" bestFit="1" customWidth="1"/>
    <col min="9" max="9" width="9.6640625" bestFit="1" customWidth="1"/>
    <col min="10" max="10" width="14.4140625" bestFit="1" customWidth="1"/>
    <col min="11" max="11" width="14.4140625" customWidth="1"/>
  </cols>
  <sheetData>
    <row r="1" spans="2:17" x14ac:dyDescent="0.3">
      <c r="B1" s="4"/>
      <c r="C1" s="4"/>
      <c r="D1" s="1" t="s">
        <v>9</v>
      </c>
      <c r="E1" s="1" t="s">
        <v>10</v>
      </c>
      <c r="F1" s="1" t="s">
        <v>11</v>
      </c>
      <c r="G1" s="1" t="s">
        <v>12</v>
      </c>
      <c r="H1" s="2" t="s">
        <v>3</v>
      </c>
      <c r="I1" t="s">
        <v>4</v>
      </c>
      <c r="J1" t="s">
        <v>8</v>
      </c>
      <c r="Q1" t="s">
        <v>4</v>
      </c>
    </row>
    <row r="2" spans="2:17" x14ac:dyDescent="0.3">
      <c r="B2" s="4"/>
      <c r="C2" s="4"/>
      <c r="D2" s="3">
        <v>36993.333333333336</v>
      </c>
      <c r="E2" s="5">
        <v>2.1005551034550267E-3</v>
      </c>
      <c r="F2" s="5">
        <v>36993.335433888438</v>
      </c>
      <c r="G2" s="5" t="s">
        <v>21</v>
      </c>
      <c r="H2" t="s">
        <v>0</v>
      </c>
      <c r="I2" t="s">
        <v>7</v>
      </c>
      <c r="J2" t="s">
        <v>17</v>
      </c>
      <c r="Q2" t="s">
        <v>5</v>
      </c>
    </row>
    <row r="3" spans="2:17" x14ac:dyDescent="0.3">
      <c r="B3" s="4"/>
      <c r="C3" s="4"/>
      <c r="D3" s="3">
        <v>36993.335433888438</v>
      </c>
      <c r="E3" s="5">
        <v>3.0376798742043944E-3</v>
      </c>
      <c r="F3" s="5">
        <v>36993.338471568313</v>
      </c>
      <c r="G3" s="5">
        <v>0</v>
      </c>
      <c r="H3" t="s">
        <v>0</v>
      </c>
      <c r="I3" t="s">
        <v>6</v>
      </c>
      <c r="J3" t="s">
        <v>17</v>
      </c>
      <c r="Q3" t="s">
        <v>6</v>
      </c>
    </row>
    <row r="4" spans="2:17" x14ac:dyDescent="0.3">
      <c r="D4" s="3">
        <v>36993.338471568313</v>
      </c>
      <c r="E4" s="5">
        <v>4.2091471758203824E-3</v>
      </c>
      <c r="F4" s="5">
        <v>36993.34268071549</v>
      </c>
      <c r="G4" s="5">
        <v>0</v>
      </c>
      <c r="H4" t="s">
        <v>0</v>
      </c>
      <c r="I4" t="s">
        <v>7</v>
      </c>
      <c r="J4" t="s">
        <v>17</v>
      </c>
      <c r="Q4" t="s">
        <v>7</v>
      </c>
    </row>
    <row r="5" spans="2:17" x14ac:dyDescent="0.3">
      <c r="D5" s="3">
        <v>36993.344213885015</v>
      </c>
      <c r="E5" s="5">
        <v>5.7803738533793933E-3</v>
      </c>
      <c r="F5" s="5">
        <v>36993.349994258868</v>
      </c>
      <c r="G5" s="5">
        <v>1.533169524918776E-3</v>
      </c>
      <c r="H5" t="s">
        <v>0</v>
      </c>
      <c r="I5" t="s">
        <v>7</v>
      </c>
      <c r="J5" t="s">
        <v>17</v>
      </c>
    </row>
    <row r="6" spans="2:17" x14ac:dyDescent="0.3">
      <c r="D6" s="3">
        <v>36993.352158270995</v>
      </c>
      <c r="E6" s="5">
        <v>2.6029311110936444E-3</v>
      </c>
      <c r="F6" s="5">
        <v>36993.354761202107</v>
      </c>
      <c r="G6" s="5">
        <v>2.1640121267409995E-3</v>
      </c>
      <c r="H6" t="s">
        <v>0</v>
      </c>
      <c r="I6" t="s">
        <v>7</v>
      </c>
      <c r="J6" t="s">
        <v>18</v>
      </c>
    </row>
    <row r="7" spans="2:17" x14ac:dyDescent="0.3">
      <c r="D7" s="3">
        <v>36993.355982821806</v>
      </c>
      <c r="E7" s="5">
        <v>2.2401134600746986E-3</v>
      </c>
      <c r="F7" s="5">
        <v>36993.358222935269</v>
      </c>
      <c r="G7" s="5">
        <v>1.2216196992085315E-3</v>
      </c>
      <c r="H7" t="s">
        <v>0</v>
      </c>
      <c r="I7" t="s">
        <v>6</v>
      </c>
      <c r="J7" t="s">
        <v>17</v>
      </c>
    </row>
    <row r="8" spans="2:17" x14ac:dyDescent="0.3">
      <c r="D8" s="3">
        <v>36993.358222935269</v>
      </c>
      <c r="E8" s="5">
        <v>4.6364346879183595E-3</v>
      </c>
      <c r="F8" s="5">
        <v>36993.362859369954</v>
      </c>
      <c r="G8" s="5">
        <v>0</v>
      </c>
      <c r="H8" t="s">
        <v>0</v>
      </c>
      <c r="I8" t="s">
        <v>5</v>
      </c>
      <c r="J8" t="s">
        <v>18</v>
      </c>
    </row>
    <row r="9" spans="2:17" x14ac:dyDescent="0.3">
      <c r="D9" s="3">
        <v>36993.364987280685</v>
      </c>
      <c r="E9" s="5">
        <v>3.4380433081975057E-3</v>
      </c>
      <c r="F9" s="5">
        <v>36993.368425323992</v>
      </c>
      <c r="G9" s="5">
        <v>2.1279107313603163E-3</v>
      </c>
      <c r="H9" t="s">
        <v>0</v>
      </c>
      <c r="I9" t="s">
        <v>6</v>
      </c>
      <c r="J9" t="s">
        <v>17</v>
      </c>
    </row>
    <row r="10" spans="2:17" x14ac:dyDescent="0.3">
      <c r="D10" s="3">
        <v>36993.368425323992</v>
      </c>
      <c r="E10" s="5">
        <v>4.7747517019921717E-3</v>
      </c>
      <c r="F10" s="5">
        <v>36993.373200075694</v>
      </c>
      <c r="G10" s="5">
        <v>0</v>
      </c>
      <c r="H10" t="s">
        <v>0</v>
      </c>
      <c r="I10" t="s">
        <v>7</v>
      </c>
      <c r="J10" t="s">
        <v>17</v>
      </c>
    </row>
    <row r="11" spans="2:17" x14ac:dyDescent="0.3">
      <c r="D11" s="3">
        <v>36993.375538116845</v>
      </c>
      <c r="E11" s="5">
        <v>4.012423727289609E-3</v>
      </c>
      <c r="F11" s="5">
        <v>36993.379550540572</v>
      </c>
      <c r="G11" s="5">
        <v>2.3380411512334831E-3</v>
      </c>
      <c r="H11" t="s">
        <v>0</v>
      </c>
      <c r="I11" t="s">
        <v>5</v>
      </c>
      <c r="J11" t="s">
        <v>17</v>
      </c>
    </row>
    <row r="12" spans="2:17" x14ac:dyDescent="0.3">
      <c r="D12" s="3">
        <v>36993.381506549129</v>
      </c>
      <c r="E12" s="5">
        <v>6.7150361593494804E-3</v>
      </c>
      <c r="F12" s="5">
        <v>36993.388221585286</v>
      </c>
      <c r="G12" s="5">
        <v>1.9560085565899499E-3</v>
      </c>
      <c r="H12" t="s">
        <v>0</v>
      </c>
      <c r="I12" t="s">
        <v>7</v>
      </c>
      <c r="J12" t="s">
        <v>17</v>
      </c>
    </row>
    <row r="13" spans="2:17" x14ac:dyDescent="0.3">
      <c r="D13" s="3">
        <v>36993.389524824932</v>
      </c>
      <c r="E13" s="5">
        <v>6.917251942946092E-3</v>
      </c>
      <c r="F13" s="5">
        <v>36993.396442076875</v>
      </c>
      <c r="G13" s="5">
        <v>1.3032396454946138E-3</v>
      </c>
      <c r="H13" t="s">
        <v>0</v>
      </c>
      <c r="I13" t="s">
        <v>7</v>
      </c>
      <c r="J13" t="s">
        <v>17</v>
      </c>
    </row>
    <row r="14" spans="2:17" x14ac:dyDescent="0.3">
      <c r="D14" s="3">
        <v>36993.397191728189</v>
      </c>
      <c r="E14" s="5">
        <v>3.7963083195012809E-3</v>
      </c>
      <c r="F14" s="5">
        <v>36993.400988036505</v>
      </c>
      <c r="G14" s="5">
        <v>7.496513135265559E-4</v>
      </c>
      <c r="H14" t="s">
        <v>0</v>
      </c>
      <c r="I14" t="s">
        <v>5</v>
      </c>
      <c r="J14" t="s">
        <v>17</v>
      </c>
    </row>
    <row r="15" spans="2:17" x14ac:dyDescent="0.3">
      <c r="D15" s="3">
        <v>36993.400988036505</v>
      </c>
      <c r="E15" s="5">
        <v>7.1912645717005612E-3</v>
      </c>
      <c r="F15" s="5">
        <v>36993.408179301077</v>
      </c>
      <c r="G15" s="5">
        <v>0</v>
      </c>
      <c r="H15" t="s">
        <v>0</v>
      </c>
      <c r="I15" t="s">
        <v>6</v>
      </c>
      <c r="J15" t="s">
        <v>17</v>
      </c>
    </row>
    <row r="16" spans="2:17" x14ac:dyDescent="0.3">
      <c r="D16" s="3">
        <v>36993.408179301077</v>
      </c>
      <c r="E16" s="5">
        <v>6.823620283570881E-3</v>
      </c>
      <c r="F16" s="5">
        <v>36993.415002921363</v>
      </c>
      <c r="G16" s="5">
        <v>0</v>
      </c>
      <c r="H16" t="s">
        <v>0</v>
      </c>
      <c r="I16" t="s">
        <v>6</v>
      </c>
      <c r="J16" t="s">
        <v>17</v>
      </c>
    </row>
    <row r="17" spans="4:10" x14ac:dyDescent="0.3">
      <c r="D17" s="3">
        <v>36993.415418058714</v>
      </c>
      <c r="E17" s="5">
        <v>4.3595855565857732E-3</v>
      </c>
      <c r="F17" s="5">
        <v>36993.419777644267</v>
      </c>
      <c r="G17" s="5">
        <v>4.1513735050102696E-4</v>
      </c>
      <c r="H17" t="s">
        <v>0</v>
      </c>
      <c r="I17" t="s">
        <v>6</v>
      </c>
      <c r="J17" t="s">
        <v>17</v>
      </c>
    </row>
    <row r="18" spans="4:10" x14ac:dyDescent="0.3">
      <c r="D18" s="3">
        <v>36993.419983780346</v>
      </c>
      <c r="E18" s="5">
        <v>4.7608064151318371E-3</v>
      </c>
      <c r="F18" s="5">
        <v>36993.424744586759</v>
      </c>
      <c r="G18" s="5">
        <v>2.0613607921404764E-4</v>
      </c>
      <c r="H18" t="s">
        <v>0</v>
      </c>
      <c r="I18" t="s">
        <v>5</v>
      </c>
      <c r="J18" t="s">
        <v>17</v>
      </c>
    </row>
    <row r="19" spans="4:10" x14ac:dyDescent="0.3">
      <c r="D19" s="3">
        <v>36993.42546305096</v>
      </c>
      <c r="E19" s="5">
        <v>5.3014458195979547E-3</v>
      </c>
      <c r="F19" s="5">
        <v>36993.430764496778</v>
      </c>
      <c r="G19" s="5">
        <v>7.1846420178189874E-4</v>
      </c>
      <c r="H19" t="s">
        <v>0</v>
      </c>
      <c r="I19" t="s">
        <v>6</v>
      </c>
      <c r="J19" t="s">
        <v>18</v>
      </c>
    </row>
    <row r="20" spans="4:10" x14ac:dyDescent="0.3">
      <c r="D20" s="3">
        <v>36993.431792598712</v>
      </c>
      <c r="E20" s="5">
        <v>3.6607692913008852E-3</v>
      </c>
      <c r="F20" s="5">
        <v>36993.435453368002</v>
      </c>
      <c r="G20" s="5">
        <v>1.0281019349349663E-3</v>
      </c>
      <c r="H20" t="s">
        <v>0</v>
      </c>
      <c r="I20" t="s">
        <v>6</v>
      </c>
      <c r="J20" t="s">
        <v>17</v>
      </c>
    </row>
    <row r="21" spans="4:10" x14ac:dyDescent="0.3">
      <c r="D21" s="3">
        <v>36993.333333333336</v>
      </c>
      <c r="E21" s="5">
        <v>5.0903497500446203E-3</v>
      </c>
      <c r="F21" s="5">
        <v>36993.338423683083</v>
      </c>
      <c r="G21" s="5" t="s">
        <v>21</v>
      </c>
      <c r="H21" t="s">
        <v>1</v>
      </c>
      <c r="I21" t="s">
        <v>7</v>
      </c>
      <c r="J21" t="s">
        <v>17</v>
      </c>
    </row>
    <row r="22" spans="4:10" x14ac:dyDescent="0.3">
      <c r="D22" s="3">
        <v>36993.338423683083</v>
      </c>
      <c r="E22" s="5">
        <v>5.2797552366469352E-3</v>
      </c>
      <c r="F22" s="5">
        <v>36993.343703438317</v>
      </c>
      <c r="G22" s="5">
        <v>0</v>
      </c>
      <c r="H22" t="s">
        <v>1</v>
      </c>
      <c r="I22" t="s">
        <v>5</v>
      </c>
      <c r="J22" t="s">
        <v>17</v>
      </c>
    </row>
    <row r="23" spans="4:10" x14ac:dyDescent="0.3">
      <c r="D23" s="3">
        <v>36993.345523631615</v>
      </c>
      <c r="E23" s="5">
        <v>2.2891665142077341E-3</v>
      </c>
      <c r="F23" s="5">
        <v>36993.347812798129</v>
      </c>
      <c r="G23" s="5">
        <v>1.8201932980446145E-3</v>
      </c>
      <c r="H23" t="s">
        <v>1</v>
      </c>
      <c r="I23" t="s">
        <v>6</v>
      </c>
      <c r="J23" t="s">
        <v>18</v>
      </c>
    </row>
    <row r="24" spans="4:10" x14ac:dyDescent="0.3">
      <c r="D24" s="3">
        <v>36993.350659555974</v>
      </c>
      <c r="E24" s="5">
        <v>4.2932483092082922E-3</v>
      </c>
      <c r="F24" s="5">
        <v>36993.354952804286</v>
      </c>
      <c r="G24" s="5">
        <v>2.8467578449635766E-3</v>
      </c>
      <c r="H24" t="s">
        <v>1</v>
      </c>
      <c r="I24" t="s">
        <v>7</v>
      </c>
      <c r="J24" t="s">
        <v>18</v>
      </c>
    </row>
    <row r="25" spans="4:10" x14ac:dyDescent="0.3">
      <c r="D25" s="3">
        <v>36993.357827982974</v>
      </c>
      <c r="E25" s="5">
        <v>4.716376323054142E-3</v>
      </c>
      <c r="F25" s="5">
        <v>36993.362544359297</v>
      </c>
      <c r="G25" s="5">
        <v>2.8751786885550246E-3</v>
      </c>
      <c r="H25" t="s">
        <v>1</v>
      </c>
      <c r="I25" t="s">
        <v>6</v>
      </c>
      <c r="J25" t="s">
        <v>17</v>
      </c>
    </row>
    <row r="26" spans="4:10" x14ac:dyDescent="0.3">
      <c r="D26" s="3">
        <v>36993.363631377615</v>
      </c>
      <c r="E26" s="5">
        <v>3.6373736111233578E-3</v>
      </c>
      <c r="F26" s="5">
        <v>36993.367268751223</v>
      </c>
      <c r="G26" s="5">
        <v>1.0870183177758008E-3</v>
      </c>
      <c r="H26" t="s">
        <v>1</v>
      </c>
      <c r="I26" t="s">
        <v>5</v>
      </c>
      <c r="J26" t="s">
        <v>17</v>
      </c>
    </row>
    <row r="27" spans="4:10" x14ac:dyDescent="0.3">
      <c r="D27" s="3">
        <v>36993.36989641664</v>
      </c>
      <c r="E27" s="5">
        <v>7.1299500101562295E-3</v>
      </c>
      <c r="F27" s="5">
        <v>36993.377026366652</v>
      </c>
      <c r="G27" s="5">
        <v>2.6276654170942493E-3</v>
      </c>
      <c r="H27" t="s">
        <v>1</v>
      </c>
      <c r="I27" t="s">
        <v>5</v>
      </c>
      <c r="J27" t="s">
        <v>17</v>
      </c>
    </row>
    <row r="28" spans="4:10" x14ac:dyDescent="0.3">
      <c r="D28" s="3">
        <v>36993.377026366652</v>
      </c>
      <c r="E28" s="5">
        <v>4.3239431829523826E-3</v>
      </c>
      <c r="F28" s="5">
        <v>36993.381350309835</v>
      </c>
      <c r="G28" s="5">
        <v>0</v>
      </c>
      <c r="H28" t="s">
        <v>1</v>
      </c>
      <c r="I28" t="s">
        <v>5</v>
      </c>
      <c r="J28" t="s">
        <v>17</v>
      </c>
    </row>
    <row r="29" spans="4:10" x14ac:dyDescent="0.3">
      <c r="D29" s="3">
        <v>36993.384014800831</v>
      </c>
      <c r="E29" s="5">
        <v>2.5231690245873274E-3</v>
      </c>
      <c r="F29" s="5">
        <v>36993.386537969855</v>
      </c>
      <c r="G29" s="5">
        <v>2.6644909958122298E-3</v>
      </c>
      <c r="H29" t="s">
        <v>1</v>
      </c>
      <c r="I29" t="s">
        <v>6</v>
      </c>
      <c r="J29" t="s">
        <v>17</v>
      </c>
    </row>
    <row r="30" spans="4:10" x14ac:dyDescent="0.3">
      <c r="D30" s="3">
        <v>36993.389643538801</v>
      </c>
      <c r="E30" s="5">
        <v>2.378316799589413E-3</v>
      </c>
      <c r="F30" s="5">
        <v>36993.392021855601</v>
      </c>
      <c r="G30" s="5">
        <v>3.1055689469212666E-3</v>
      </c>
      <c r="H30" t="s">
        <v>1</v>
      </c>
      <c r="I30" t="s">
        <v>7</v>
      </c>
      <c r="J30" t="s">
        <v>17</v>
      </c>
    </row>
    <row r="31" spans="4:10" x14ac:dyDescent="0.3">
      <c r="D31" s="3">
        <v>36993.392021855601</v>
      </c>
      <c r="E31" s="5">
        <v>4.9356463283240955E-3</v>
      </c>
      <c r="F31" s="5">
        <v>36993.396957501929</v>
      </c>
      <c r="G31" s="5">
        <v>0</v>
      </c>
      <c r="H31" t="s">
        <v>1</v>
      </c>
      <c r="I31" t="s">
        <v>7</v>
      </c>
      <c r="J31" t="s">
        <v>17</v>
      </c>
    </row>
    <row r="32" spans="4:10" x14ac:dyDescent="0.3">
      <c r="D32" s="3">
        <v>36993.396957501929</v>
      </c>
      <c r="E32" s="5">
        <v>6.026182009149509E-3</v>
      </c>
      <c r="F32" s="5">
        <v>36993.40298368394</v>
      </c>
      <c r="G32" s="5">
        <v>0</v>
      </c>
      <c r="H32" t="s">
        <v>1</v>
      </c>
      <c r="I32" t="s">
        <v>5</v>
      </c>
      <c r="J32" t="s">
        <v>18</v>
      </c>
    </row>
    <row r="33" spans="4:10" x14ac:dyDescent="0.3">
      <c r="D33" s="3">
        <v>36993.40298368394</v>
      </c>
      <c r="E33" s="5">
        <v>2.2625120643633523E-3</v>
      </c>
      <c r="F33" s="5">
        <v>36993.405246196002</v>
      </c>
      <c r="G33" s="5">
        <v>0</v>
      </c>
      <c r="H33" t="s">
        <v>1</v>
      </c>
      <c r="I33" t="s">
        <v>6</v>
      </c>
      <c r="J33" t="s">
        <v>18</v>
      </c>
    </row>
    <row r="34" spans="4:10" x14ac:dyDescent="0.3">
      <c r="D34" s="3">
        <v>36993.405246196002</v>
      </c>
      <c r="E34" s="5">
        <v>7.52824822456887E-3</v>
      </c>
      <c r="F34" s="5">
        <v>36993.412774444223</v>
      </c>
      <c r="G34" s="5">
        <v>0</v>
      </c>
      <c r="H34" t="s">
        <v>1</v>
      </c>
      <c r="I34" t="s">
        <v>7</v>
      </c>
      <c r="J34" t="s">
        <v>17</v>
      </c>
    </row>
    <row r="35" spans="4:10" x14ac:dyDescent="0.3">
      <c r="D35" s="3">
        <v>36993.412774444223</v>
      </c>
      <c r="E35" s="5">
        <v>4.9729452909150484E-3</v>
      </c>
      <c r="F35" s="5">
        <v>36993.417747389511</v>
      </c>
      <c r="G35" s="5">
        <v>0</v>
      </c>
      <c r="H35" t="s">
        <v>1</v>
      </c>
      <c r="I35" t="s">
        <v>6</v>
      </c>
      <c r="J35" t="s">
        <v>17</v>
      </c>
    </row>
    <row r="36" spans="4:10" x14ac:dyDescent="0.3">
      <c r="D36" s="3">
        <v>36993.420705105076</v>
      </c>
      <c r="E36" s="5">
        <v>5.1813977238201765E-3</v>
      </c>
      <c r="F36" s="5">
        <v>36993.425886502802</v>
      </c>
      <c r="G36" s="5">
        <v>2.9577155655715615E-3</v>
      </c>
      <c r="H36" t="s">
        <v>1</v>
      </c>
      <c r="I36" t="s">
        <v>6</v>
      </c>
      <c r="J36" t="s">
        <v>17</v>
      </c>
    </row>
    <row r="37" spans="4:10" x14ac:dyDescent="0.3">
      <c r="D37" s="3">
        <v>36993.425886502802</v>
      </c>
      <c r="E37" s="5">
        <v>6.5054806564809643E-3</v>
      </c>
      <c r="F37" s="5">
        <v>36993.432391983457</v>
      </c>
      <c r="G37" s="5">
        <v>0</v>
      </c>
      <c r="H37" t="s">
        <v>1</v>
      </c>
      <c r="I37" t="s">
        <v>5</v>
      </c>
      <c r="J37" t="s">
        <v>17</v>
      </c>
    </row>
    <row r="38" spans="4:10" x14ac:dyDescent="0.3">
      <c r="D38" s="3">
        <v>36993.435699177753</v>
      </c>
      <c r="E38" s="5">
        <v>2.6117786690121976E-3</v>
      </c>
      <c r="F38" s="5">
        <v>36993.438310956422</v>
      </c>
      <c r="G38" s="5">
        <v>3.3071942962124012E-3</v>
      </c>
      <c r="H38" t="s">
        <v>1</v>
      </c>
      <c r="I38" t="s">
        <v>7</v>
      </c>
      <c r="J38" t="s">
        <v>17</v>
      </c>
    </row>
    <row r="39" spans="4:10" x14ac:dyDescent="0.3">
      <c r="D39" s="3">
        <v>36993.438350046388</v>
      </c>
      <c r="E39" s="5">
        <v>6.3344851455419352E-3</v>
      </c>
      <c r="F39" s="5">
        <v>36993.444684531532</v>
      </c>
      <c r="G39" s="5">
        <v>3.9089965866878629E-5</v>
      </c>
      <c r="H39" t="s">
        <v>1</v>
      </c>
      <c r="I39" t="s">
        <v>6</v>
      </c>
      <c r="J39" t="s">
        <v>17</v>
      </c>
    </row>
    <row r="40" spans="4:10" x14ac:dyDescent="0.3">
      <c r="D40" s="3">
        <v>36993.333333333336</v>
      </c>
      <c r="E40" s="5">
        <v>7.0614903322161835E-3</v>
      </c>
      <c r="F40" s="5">
        <v>36993.340394823666</v>
      </c>
      <c r="G40" s="5" t="s">
        <v>21</v>
      </c>
      <c r="H40" t="s">
        <v>0</v>
      </c>
      <c r="I40" t="s">
        <v>7</v>
      </c>
      <c r="J40" t="s">
        <v>17</v>
      </c>
    </row>
    <row r="41" spans="4:10" x14ac:dyDescent="0.3">
      <c r="D41" s="3">
        <v>36993.340394823666</v>
      </c>
      <c r="E41" s="5">
        <v>3.9330709218734269E-3</v>
      </c>
      <c r="F41" s="5">
        <v>36993.344327894585</v>
      </c>
      <c r="G41" s="5">
        <v>0</v>
      </c>
      <c r="H41" t="s">
        <v>0</v>
      </c>
      <c r="I41" t="s">
        <v>6</v>
      </c>
      <c r="J41" t="s">
        <v>17</v>
      </c>
    </row>
    <row r="42" spans="4:10" x14ac:dyDescent="0.3">
      <c r="D42" s="3">
        <v>36993.345490442262</v>
      </c>
      <c r="E42" s="5">
        <v>4.4138065836644485E-3</v>
      </c>
      <c r="F42" s="5">
        <v>36993.349904248847</v>
      </c>
      <c r="G42" s="5">
        <v>1.162547676358372E-3</v>
      </c>
      <c r="H42" t="s">
        <v>0</v>
      </c>
      <c r="I42" t="s">
        <v>7</v>
      </c>
      <c r="J42" t="s">
        <v>18</v>
      </c>
    </row>
    <row r="43" spans="4:10" x14ac:dyDescent="0.3">
      <c r="D43" s="3">
        <v>36993.349904248847</v>
      </c>
      <c r="E43" s="5">
        <v>4.5959704814168729E-3</v>
      </c>
      <c r="F43" s="5">
        <v>36993.354500219328</v>
      </c>
      <c r="G43" s="5">
        <v>0</v>
      </c>
      <c r="H43" t="s">
        <v>0</v>
      </c>
      <c r="I43" t="s">
        <v>7</v>
      </c>
      <c r="J43" t="s">
        <v>17</v>
      </c>
    </row>
    <row r="44" spans="4:10" x14ac:dyDescent="0.3">
      <c r="D44" s="3">
        <v>36993.355641418646</v>
      </c>
      <c r="E44" s="5">
        <v>4.0882787505576376E-3</v>
      </c>
      <c r="F44" s="5">
        <v>36993.359729697397</v>
      </c>
      <c r="G44" s="5">
        <v>1.1411993182264268E-3</v>
      </c>
      <c r="H44" t="s">
        <v>0</v>
      </c>
      <c r="I44" t="s">
        <v>7</v>
      </c>
      <c r="J44" t="s">
        <v>17</v>
      </c>
    </row>
    <row r="45" spans="4:10" x14ac:dyDescent="0.3">
      <c r="D45" s="3">
        <v>36993.359729697397</v>
      </c>
      <c r="E45" s="5">
        <v>4.5941356479043344E-3</v>
      </c>
      <c r="F45" s="5">
        <v>36993.364323833048</v>
      </c>
      <c r="G45" s="5">
        <v>0</v>
      </c>
      <c r="H45" t="s">
        <v>0</v>
      </c>
      <c r="I45" t="s">
        <v>6</v>
      </c>
      <c r="J45" t="s">
        <v>18</v>
      </c>
    </row>
    <row r="46" spans="4:10" x14ac:dyDescent="0.3">
      <c r="D46" s="3">
        <v>36993.365583780047</v>
      </c>
      <c r="E46" s="5">
        <v>4.0193860891521663E-3</v>
      </c>
      <c r="F46" s="5">
        <v>36993.369603166138</v>
      </c>
      <c r="G46" s="5">
        <v>1.2599469991982915E-3</v>
      </c>
      <c r="H46" t="s">
        <v>0</v>
      </c>
      <c r="I46" t="s">
        <v>5</v>
      </c>
      <c r="J46" t="s">
        <v>17</v>
      </c>
    </row>
    <row r="47" spans="4:10" x14ac:dyDescent="0.3">
      <c r="D47" s="3">
        <v>36993.372868463346</v>
      </c>
      <c r="E47" s="5">
        <v>4.0496028858004983E-3</v>
      </c>
      <c r="F47" s="5">
        <v>36993.376918066235</v>
      </c>
      <c r="G47" s="5">
        <v>3.2652972076903097E-3</v>
      </c>
      <c r="H47" t="s">
        <v>0</v>
      </c>
      <c r="I47" t="s">
        <v>6</v>
      </c>
      <c r="J47" t="s">
        <v>17</v>
      </c>
    </row>
    <row r="48" spans="4:10" x14ac:dyDescent="0.3">
      <c r="D48" s="3">
        <v>36993.380060127223</v>
      </c>
      <c r="E48" s="5">
        <v>7.5820472764086232E-3</v>
      </c>
      <c r="F48" s="5">
        <v>36993.387642174501</v>
      </c>
      <c r="G48" s="5">
        <v>3.1420609884662554E-3</v>
      </c>
      <c r="H48" t="s">
        <v>0</v>
      </c>
      <c r="I48" t="s">
        <v>6</v>
      </c>
      <c r="J48" t="s">
        <v>17</v>
      </c>
    </row>
    <row r="49" spans="4:10" x14ac:dyDescent="0.3">
      <c r="D49" s="3">
        <v>36993.387642174501</v>
      </c>
      <c r="E49" s="5">
        <v>3.6847633496045942E-3</v>
      </c>
      <c r="F49" s="5">
        <v>36993.391326937854</v>
      </c>
      <c r="G49" s="5">
        <v>0</v>
      </c>
      <c r="H49" t="s">
        <v>0</v>
      </c>
      <c r="I49" t="s">
        <v>5</v>
      </c>
      <c r="J49" t="s">
        <v>17</v>
      </c>
    </row>
    <row r="50" spans="4:10" x14ac:dyDescent="0.3">
      <c r="D50" s="3">
        <v>36993.393793211413</v>
      </c>
      <c r="E50" s="5">
        <v>7.4613474424958595E-3</v>
      </c>
      <c r="F50" s="5">
        <v>36993.401254558856</v>
      </c>
      <c r="G50" s="5">
        <v>2.4662735595484264E-3</v>
      </c>
      <c r="H50" t="s">
        <v>0</v>
      </c>
      <c r="I50" t="s">
        <v>7</v>
      </c>
      <c r="J50" t="s">
        <v>17</v>
      </c>
    </row>
    <row r="51" spans="4:10" x14ac:dyDescent="0.3">
      <c r="D51" s="3">
        <v>36993.402978311693</v>
      </c>
      <c r="E51" s="5">
        <v>7.4291964708327243E-3</v>
      </c>
      <c r="F51" s="5">
        <v>36993.410407508163</v>
      </c>
      <c r="G51" s="5">
        <v>1.7237528372788802E-3</v>
      </c>
      <c r="H51" t="s">
        <v>0</v>
      </c>
      <c r="I51" t="s">
        <v>6</v>
      </c>
      <c r="J51" t="s">
        <v>17</v>
      </c>
    </row>
    <row r="52" spans="4:10" x14ac:dyDescent="0.3">
      <c r="D52" s="3">
        <v>36993.413253021186</v>
      </c>
      <c r="E52" s="5">
        <v>5.3440997832101952E-3</v>
      </c>
      <c r="F52" s="5">
        <v>36993.418597120966</v>
      </c>
      <c r="G52" s="5">
        <v>2.8455130232032388E-3</v>
      </c>
      <c r="H52" t="s">
        <v>0</v>
      </c>
      <c r="I52" t="s">
        <v>7</v>
      </c>
      <c r="J52" t="s">
        <v>17</v>
      </c>
    </row>
    <row r="53" spans="4:10" x14ac:dyDescent="0.3">
      <c r="D53" s="3">
        <v>36993.418936580216</v>
      </c>
      <c r="E53" s="5">
        <v>4.1319844571081031E-3</v>
      </c>
      <c r="F53" s="5">
        <v>36993.423068564676</v>
      </c>
      <c r="G53" s="5">
        <v>3.3945924951694906E-4</v>
      </c>
      <c r="H53" t="s">
        <v>0</v>
      </c>
      <c r="I53" t="s">
        <v>5</v>
      </c>
      <c r="J53" t="s">
        <v>17</v>
      </c>
    </row>
    <row r="54" spans="4:10" x14ac:dyDescent="0.3">
      <c r="D54" s="3">
        <v>36993.426509322941</v>
      </c>
      <c r="E54" s="5">
        <v>2.2430926104000234E-3</v>
      </c>
      <c r="F54" s="5">
        <v>36993.428752415552</v>
      </c>
      <c r="G54" s="5">
        <v>3.4407582643325441E-3</v>
      </c>
      <c r="H54" t="s">
        <v>0</v>
      </c>
      <c r="I54" t="s">
        <v>7</v>
      </c>
      <c r="J54" t="s">
        <v>17</v>
      </c>
    </row>
    <row r="55" spans="4:10" x14ac:dyDescent="0.3">
      <c r="D55" s="3">
        <v>36993.429027595455</v>
      </c>
      <c r="E55" s="5">
        <v>7.4835944797510372E-3</v>
      </c>
      <c r="F55" s="5">
        <v>36993.436511189939</v>
      </c>
      <c r="G55" s="5">
        <v>2.7517990383785218E-4</v>
      </c>
      <c r="H55" t="s">
        <v>0</v>
      </c>
      <c r="I55" t="s">
        <v>6</v>
      </c>
      <c r="J55" t="s">
        <v>18</v>
      </c>
    </row>
    <row r="56" spans="4:10" x14ac:dyDescent="0.3">
      <c r="D56" s="3">
        <v>36993.436511189939</v>
      </c>
      <c r="E56" s="5">
        <v>4.2016720071784202E-3</v>
      </c>
      <c r="F56" s="5">
        <v>36993.440712861942</v>
      </c>
      <c r="G56" s="5">
        <v>0</v>
      </c>
      <c r="H56" t="s">
        <v>0</v>
      </c>
      <c r="I56" t="s">
        <v>5</v>
      </c>
      <c r="J56" t="s">
        <v>18</v>
      </c>
    </row>
    <row r="57" spans="4:10" x14ac:dyDescent="0.3">
      <c r="D57" s="3">
        <v>36993.442773257331</v>
      </c>
      <c r="E57" s="5">
        <v>4.291610637624307E-3</v>
      </c>
      <c r="F57" s="5">
        <v>36993.447064867971</v>
      </c>
      <c r="G57" s="5">
        <v>2.0603953889803961E-3</v>
      </c>
      <c r="H57" t="s">
        <v>0</v>
      </c>
      <c r="I57" t="s">
        <v>7</v>
      </c>
      <c r="J57" t="s">
        <v>17</v>
      </c>
    </row>
    <row r="58" spans="4:10" x14ac:dyDescent="0.3">
      <c r="D58" s="3">
        <v>36993.44873686583</v>
      </c>
      <c r="E58" s="5">
        <v>6.0593123080688611E-3</v>
      </c>
      <c r="F58" s="5">
        <v>36993.454796178135</v>
      </c>
      <c r="G58" s="5">
        <v>1.6719978593755513E-3</v>
      </c>
      <c r="H58" t="s">
        <v>0</v>
      </c>
      <c r="I58" t="s">
        <v>5</v>
      </c>
      <c r="J58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0A26C-C19A-4AD9-9E92-039EEBFF11D4}">
  <sheetPr codeName="גיליון1"/>
  <dimension ref="A1:H2"/>
  <sheetViews>
    <sheetView rightToLeft="1" zoomScale="85" zoomScaleNormal="85" workbookViewId="0">
      <selection activeCell="C2" sqref="C2"/>
    </sheetView>
  </sheetViews>
  <sheetFormatPr defaultRowHeight="14" x14ac:dyDescent="0.3"/>
  <cols>
    <col min="1" max="1" width="14.83203125" bestFit="1" customWidth="1"/>
    <col min="2" max="2" width="11" bestFit="1" customWidth="1"/>
    <col min="3" max="3" width="14.83203125" bestFit="1" customWidth="1"/>
    <col min="4" max="4" width="9.58203125" customWidth="1"/>
    <col min="6" max="6" width="12.08203125" customWidth="1"/>
    <col min="7" max="7" width="17" customWidth="1"/>
    <col min="8" max="8" width="18" customWidth="1"/>
  </cols>
  <sheetData>
    <row r="1" spans="1:8" x14ac:dyDescent="0.3">
      <c r="A1" t="s">
        <v>9</v>
      </c>
      <c r="B1" t="s">
        <v>10</v>
      </c>
      <c r="C1" t="s">
        <v>11</v>
      </c>
      <c r="D1" t="s">
        <v>12</v>
      </c>
      <c r="E1" t="s">
        <v>3</v>
      </c>
      <c r="F1" t="s">
        <v>4</v>
      </c>
      <c r="G1" t="s">
        <v>8</v>
      </c>
      <c r="H1" t="s">
        <v>59</v>
      </c>
    </row>
    <row r="2" spans="1:8" x14ac:dyDescent="0.3">
      <c r="A2" s="24">
        <v>36993.339803240742</v>
      </c>
      <c r="B2" s="25">
        <v>4.1203703703703706E-3</v>
      </c>
      <c r="C2" s="24">
        <v>36993.343935185185</v>
      </c>
      <c r="D2" s="25">
        <v>1.8055555555555557E-3</v>
      </c>
      <c r="E2" t="s">
        <v>2</v>
      </c>
      <c r="F2" t="s">
        <v>5</v>
      </c>
      <c r="G2" t="s">
        <v>42</v>
      </c>
      <c r="H2" t="s">
        <v>60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Y58"/>
  <sheetViews>
    <sheetView topLeftCell="H1" zoomScale="55" zoomScaleNormal="55" workbookViewId="0">
      <selection activeCell="U28" sqref="U28"/>
    </sheetView>
  </sheetViews>
  <sheetFormatPr defaultRowHeight="14" x14ac:dyDescent="0.3"/>
  <cols>
    <col min="1" max="1" width="16.6640625" bestFit="1" customWidth="1"/>
    <col min="4" max="4" width="14.75" bestFit="1" customWidth="1"/>
    <col min="5" max="7" width="15" customWidth="1"/>
    <col min="8" max="8" width="15.4140625" bestFit="1" customWidth="1"/>
    <col min="9" max="9" width="9.75" bestFit="1" customWidth="1"/>
    <col min="10" max="10" width="15.08203125" bestFit="1" customWidth="1"/>
    <col min="12" max="12" width="23.33203125" customWidth="1"/>
    <col min="13" max="13" width="26.1640625" bestFit="1" customWidth="1"/>
    <col min="14" max="14" width="13.08203125" bestFit="1" customWidth="1"/>
    <col min="15" max="15" width="8.75" bestFit="1" customWidth="1"/>
    <col min="16" max="16" width="9.08203125" bestFit="1" customWidth="1"/>
    <col min="17" max="17" width="10.6640625" bestFit="1" customWidth="1"/>
    <col min="18" max="18" width="9.5" bestFit="1" customWidth="1"/>
    <col min="19" max="19" width="6.83203125" bestFit="1" customWidth="1"/>
    <col min="20" max="20" width="9.5" bestFit="1" customWidth="1"/>
    <col min="21" max="24" width="6.83203125" bestFit="1" customWidth="1"/>
    <col min="25" max="25" width="15.58203125" bestFit="1" customWidth="1"/>
    <col min="26" max="31" width="6.83203125" bestFit="1" customWidth="1"/>
    <col min="32" max="32" width="12.1640625" bestFit="1" customWidth="1"/>
    <col min="33" max="33" width="7" bestFit="1" customWidth="1"/>
    <col min="34" max="35" width="7.9140625" bestFit="1" customWidth="1"/>
    <col min="36" max="47" width="6.83203125" bestFit="1" customWidth="1"/>
    <col min="48" max="48" width="7.9140625" bestFit="1" customWidth="1"/>
    <col min="49" max="50" width="6.83203125" bestFit="1" customWidth="1"/>
    <col min="51" max="51" width="9.9140625" bestFit="1" customWidth="1"/>
    <col min="52" max="52" width="9.83203125" bestFit="1" customWidth="1"/>
    <col min="53" max="55" width="6.83203125" bestFit="1" customWidth="1"/>
    <col min="56" max="56" width="7.9140625" bestFit="1" customWidth="1"/>
    <col min="57" max="68" width="6.83203125" bestFit="1" customWidth="1"/>
    <col min="69" max="69" width="12.83203125" bestFit="1" customWidth="1"/>
    <col min="70" max="70" width="8" bestFit="1" customWidth="1"/>
    <col min="71" max="71" width="19.58203125" bestFit="1" customWidth="1"/>
    <col min="72" max="72" width="20" bestFit="1" customWidth="1"/>
    <col min="73" max="73" width="19.58203125" bestFit="1" customWidth="1"/>
    <col min="74" max="74" width="20" bestFit="1" customWidth="1"/>
    <col min="75" max="75" width="19.58203125" bestFit="1" customWidth="1"/>
    <col min="76" max="76" width="20" bestFit="1" customWidth="1"/>
    <col min="77" max="77" width="19.58203125" bestFit="1" customWidth="1"/>
    <col min="78" max="78" width="20" bestFit="1" customWidth="1"/>
    <col min="79" max="79" width="19.58203125" bestFit="1" customWidth="1"/>
    <col min="80" max="80" width="20" bestFit="1" customWidth="1"/>
    <col min="81" max="81" width="19.58203125" bestFit="1" customWidth="1"/>
    <col min="82" max="82" width="20" bestFit="1" customWidth="1"/>
    <col min="83" max="83" width="19.58203125" bestFit="1" customWidth="1"/>
    <col min="84" max="84" width="20" bestFit="1" customWidth="1"/>
    <col min="85" max="85" width="19.58203125" bestFit="1" customWidth="1"/>
    <col min="86" max="86" width="20" bestFit="1" customWidth="1"/>
    <col min="87" max="87" width="19.58203125" bestFit="1" customWidth="1"/>
    <col min="88" max="88" width="20" bestFit="1" customWidth="1"/>
    <col min="89" max="89" width="19.58203125" bestFit="1" customWidth="1"/>
    <col min="90" max="90" width="26.1640625" bestFit="1" customWidth="1"/>
    <col min="91" max="91" width="25.75" bestFit="1" customWidth="1"/>
  </cols>
  <sheetData>
    <row r="1" spans="1:25" ht="14.5" x14ac:dyDescent="0.35">
      <c r="A1" s="6" t="s">
        <v>4</v>
      </c>
      <c r="B1" s="4"/>
      <c r="C1" s="4"/>
      <c r="D1" s="1" t="s">
        <v>9</v>
      </c>
      <c r="E1" s="1" t="s">
        <v>10</v>
      </c>
      <c r="F1" s="1" t="s">
        <v>11</v>
      </c>
      <c r="G1" s="1" t="s">
        <v>12</v>
      </c>
      <c r="H1" s="2" t="s">
        <v>3</v>
      </c>
      <c r="I1" t="s">
        <v>4</v>
      </c>
      <c r="J1" t="s">
        <v>8</v>
      </c>
      <c r="K1" t="s">
        <v>8</v>
      </c>
      <c r="M1" s="22" t="s">
        <v>8</v>
      </c>
      <c r="N1" t="s">
        <v>48</v>
      </c>
      <c r="Y1" t="s">
        <v>19</v>
      </c>
    </row>
    <row r="2" spans="1:25" x14ac:dyDescent="0.3">
      <c r="A2" t="s">
        <v>5</v>
      </c>
      <c r="B2" t="s">
        <v>42</v>
      </c>
      <c r="C2" s="4"/>
      <c r="D2" s="3">
        <v>36993.333333333336</v>
      </c>
      <c r="E2" s="5">
        <v>5.2352840987848794E-3</v>
      </c>
      <c r="F2" s="3">
        <f>D2+E2</f>
        <v>36993.338568617437</v>
      </c>
      <c r="G2" s="5">
        <f>D3-F2</f>
        <v>1.2356286533758976E-3</v>
      </c>
      <c r="H2" t="s">
        <v>2</v>
      </c>
      <c r="I2" t="str" cm="1">
        <f t="array" aca="1" ref="I2" ca="1">INDEX($A$2:$A$1048576,RANDBETWEEN(1,3),1)</f>
        <v xml:space="preserve">cash </v>
      </c>
      <c r="J2" t="str" cm="1">
        <f t="array" aca="1" ref="J2" ca="1">INDEX($B$2:$B$3,IF(RAND()&gt;0.65,1,2),1)</f>
        <v>female</v>
      </c>
      <c r="K2" t="str">
        <f ca="1">IF(RAND()&gt;0.65,"male"," female")</f>
        <v xml:space="preserve"> female</v>
      </c>
    </row>
    <row r="3" spans="1:25" x14ac:dyDescent="0.3">
      <c r="A3" t="s">
        <v>6</v>
      </c>
      <c r="B3" s="21" t="s">
        <v>43</v>
      </c>
      <c r="C3" s="4"/>
      <c r="D3" s="3">
        <v>36993.33980424609</v>
      </c>
      <c r="E3" s="5">
        <v>4.1256427001099532E-3</v>
      </c>
      <c r="F3" s="3">
        <f t="shared" ref="F3:F58" si="0">D3+E3</f>
        <v>36993.34392988879</v>
      </c>
      <c r="G3" s="5">
        <f t="shared" ref="G3:G57" si="1">D4-F3</f>
        <v>1.8084193798131309E-3</v>
      </c>
      <c r="H3" t="s">
        <v>2</v>
      </c>
      <c r="I3" t="str" cm="1">
        <f t="array" aca="1" ref="I3" ca="1">INDEX($A$2:$A$1048576,RANDBETWEEN(1,3),1)</f>
        <v>currency</v>
      </c>
      <c r="J3" t="str" cm="1">
        <f t="array" aca="1" ref="J3" ca="1">INDEX($B$2:$B$3,IF(RAND()&gt;0.65,1,2),1)</f>
        <v>male</v>
      </c>
      <c r="K3" t="str">
        <f t="shared" ref="K3:K58" ca="1" si="2">IF(RAND()&gt;0.65,"male"," female")</f>
        <v xml:space="preserve"> female</v>
      </c>
      <c r="N3" s="22" t="s">
        <v>47</v>
      </c>
    </row>
    <row r="4" spans="1:25" x14ac:dyDescent="0.3">
      <c r="A4" t="s">
        <v>7</v>
      </c>
      <c r="B4" s="21"/>
      <c r="D4" s="3">
        <v>36993.34573830817</v>
      </c>
      <c r="E4" s="5">
        <v>5.9377940960972124E-3</v>
      </c>
      <c r="F4" s="3">
        <f t="shared" si="0"/>
        <v>36993.351676102262</v>
      </c>
      <c r="G4" s="5">
        <f t="shared" si="1"/>
        <v>1.5864671659073792E-3</v>
      </c>
      <c r="H4" t="s">
        <v>2</v>
      </c>
      <c r="I4" t="str" cm="1">
        <f t="array" aca="1" ref="I4" ca="1">INDEX($A$2:$A$1048576,RANDBETWEEN(1,3),1)</f>
        <v>currency</v>
      </c>
      <c r="J4" t="str" cm="1">
        <f t="array" aca="1" ref="J4" ca="1">INDEX($B$2:$B$3,IF(RAND()&gt;0.65,1,2),1)</f>
        <v>male</v>
      </c>
      <c r="K4" t="str">
        <f t="shared" ca="1" si="2"/>
        <v xml:space="preserve"> female</v>
      </c>
      <c r="M4" s="22" t="s">
        <v>44</v>
      </c>
      <c r="N4" t="s">
        <v>5</v>
      </c>
      <c r="O4" t="s">
        <v>7</v>
      </c>
      <c r="P4" t="s">
        <v>6</v>
      </c>
      <c r="Q4" t="s">
        <v>45</v>
      </c>
    </row>
    <row r="5" spans="1:25" x14ac:dyDescent="0.3">
      <c r="D5" s="3">
        <v>36993.353262569428</v>
      </c>
      <c r="E5" s="5">
        <v>4.7875074995105968E-3</v>
      </c>
      <c r="F5" s="3">
        <f t="shared" si="0"/>
        <v>36993.358050076924</v>
      </c>
      <c r="G5" s="5">
        <f t="shared" si="1"/>
        <v>1.5155176515690982E-3</v>
      </c>
      <c r="H5" t="s">
        <v>2</v>
      </c>
      <c r="I5" t="str" cm="1">
        <f t="array" aca="1" ref="I5" ca="1">INDEX($A$2:$A$1048576,RANDBETWEEN(1,3),1)</f>
        <v xml:space="preserve">cash </v>
      </c>
      <c r="J5" t="str" cm="1">
        <f t="array" aca="1" ref="J5" ca="1">INDEX($B$2:$B$3,IF(RAND()&gt;0.65,1,2),1)</f>
        <v>male</v>
      </c>
      <c r="K5" t="str">
        <f t="shared" ca="1" si="2"/>
        <v xml:space="preserve"> female</v>
      </c>
      <c r="L5" s="7"/>
      <c r="M5" s="7" t="s">
        <v>2</v>
      </c>
      <c r="N5" s="5"/>
      <c r="O5" s="5"/>
      <c r="P5" s="5"/>
      <c r="Q5" s="5"/>
    </row>
    <row r="6" spans="1:25" x14ac:dyDescent="0.3">
      <c r="D6" s="3">
        <v>36993.359565594576</v>
      </c>
      <c r="E6" s="5">
        <v>6.0214091549409283E-3</v>
      </c>
      <c r="F6" s="3">
        <f t="shared" si="0"/>
        <v>36993.365587003733</v>
      </c>
      <c r="G6" s="5">
        <f t="shared" si="1"/>
        <v>0</v>
      </c>
      <c r="H6" t="s">
        <v>2</v>
      </c>
      <c r="I6" t="str" cm="1">
        <f t="array" aca="1" ref="I6" ca="1">INDEX($A$2:$A$1048576,RANDBETWEEN(1,3),1)</f>
        <v>account</v>
      </c>
      <c r="J6" t="str" cm="1">
        <f t="array" aca="1" ref="J6" ca="1">INDEX($B$2:$B$3,IF(RAND()&gt;0.65,1,2),1)</f>
        <v>male</v>
      </c>
      <c r="K6" t="str">
        <f t="shared" ca="1" si="2"/>
        <v>male</v>
      </c>
      <c r="L6" s="9"/>
      <c r="M6" s="9" t="s">
        <v>51</v>
      </c>
      <c r="N6" s="5">
        <v>1.6976645745600174E-3</v>
      </c>
      <c r="O6" s="5">
        <v>5.7804746742798167E-4</v>
      </c>
      <c r="P6" s="5">
        <v>1.5508309119596818E-3</v>
      </c>
      <c r="Q6" s="5">
        <v>1.5128055883957151E-3</v>
      </c>
    </row>
    <row r="7" spans="1:25" x14ac:dyDescent="0.3">
      <c r="D7" s="3">
        <v>36993.365587003733</v>
      </c>
      <c r="E7" s="5">
        <v>6.5419705569995379E-3</v>
      </c>
      <c r="F7" s="3">
        <f t="shared" si="0"/>
        <v>36993.37212897429</v>
      </c>
      <c r="G7" s="5">
        <f t="shared" si="1"/>
        <v>0</v>
      </c>
      <c r="H7" t="s">
        <v>2</v>
      </c>
      <c r="I7" t="str" cm="1">
        <f t="array" aca="1" ref="I7" ca="1">INDEX($A$2:$A$1048576,RANDBETWEEN(1,3),1)</f>
        <v xml:space="preserve">cash </v>
      </c>
      <c r="J7" t="str" cm="1">
        <f t="array" aca="1" ref="J7" ca="1">INDEX($B$2:$B$3,IF(RAND()&gt;0.65,1,2),1)</f>
        <v>male</v>
      </c>
      <c r="K7" t="str">
        <f t="shared" ca="1" si="2"/>
        <v xml:space="preserve"> female</v>
      </c>
      <c r="L7" s="9"/>
      <c r="M7" s="9" t="s">
        <v>46</v>
      </c>
      <c r="N7" s="5">
        <v>4.0046296296296306E-3</v>
      </c>
      <c r="O7" s="5">
        <v>5.3202160493827167E-3</v>
      </c>
      <c r="P7" s="5">
        <v>5.1041666666666674E-3</v>
      </c>
      <c r="Q7" s="5">
        <v>4.8489278752436651E-3</v>
      </c>
    </row>
    <row r="8" spans="1:25" x14ac:dyDescent="0.3">
      <c r="D8" s="3">
        <v>36993.37212897429</v>
      </c>
      <c r="E8" s="5">
        <v>7.0701116560807232E-3</v>
      </c>
      <c r="F8" s="3">
        <f t="shared" si="0"/>
        <v>36993.379199085946</v>
      </c>
      <c r="G8" s="5">
        <f t="shared" si="1"/>
        <v>1.4459874728345312E-3</v>
      </c>
      <c r="H8" t="s">
        <v>2</v>
      </c>
      <c r="I8" t="str" cm="1">
        <f t="array" aca="1" ref="I8" ca="1">INDEX($A$2:$A$1048576,RANDBETWEEN(1,3),1)</f>
        <v>currency</v>
      </c>
      <c r="J8" t="str" cm="1">
        <f t="array" aca="1" ref="J8" ca="1">INDEX($B$2:$B$3,IF(RAND()&gt;0.65,1,2),1)</f>
        <v>female</v>
      </c>
      <c r="K8" t="str">
        <f t="shared" ca="1" si="2"/>
        <v>male</v>
      </c>
      <c r="L8" s="7"/>
      <c r="M8" s="7" t="s">
        <v>1</v>
      </c>
      <c r="N8" s="5"/>
      <c r="O8" s="5"/>
      <c r="P8" s="5"/>
      <c r="Q8" s="5"/>
    </row>
    <row r="9" spans="1:25" x14ac:dyDescent="0.3">
      <c r="D9" s="3">
        <v>36993.380645073419</v>
      </c>
      <c r="E9" s="5">
        <v>4.9217611077698228E-3</v>
      </c>
      <c r="F9" s="3">
        <f t="shared" si="0"/>
        <v>36993.385566834528</v>
      </c>
      <c r="G9" s="5">
        <f t="shared" si="1"/>
        <v>9.7854701016331092E-4</v>
      </c>
      <c r="H9" t="s">
        <v>2</v>
      </c>
      <c r="I9" t="str" cm="1">
        <f t="array" aca="1" ref="I9" ca="1">INDEX($A$2:$A$1048576,RANDBETWEEN(1,3),1)</f>
        <v xml:space="preserve">cash </v>
      </c>
      <c r="J9" t="str" cm="1">
        <f t="array" aca="1" ref="J9" ca="1">INDEX($B$2:$B$3,IF(RAND()&gt;0.65,1,2),1)</f>
        <v>male</v>
      </c>
      <c r="K9" t="str">
        <f t="shared" ca="1" si="2"/>
        <v xml:space="preserve"> female</v>
      </c>
      <c r="L9" s="9"/>
      <c r="M9" s="9" t="s">
        <v>51</v>
      </c>
      <c r="N9" s="5">
        <v>1.6551452011840983E-3</v>
      </c>
      <c r="O9" s="5">
        <v>1.4802828991175142E-3</v>
      </c>
      <c r="P9" s="5">
        <v>1.9125890378872224E-3</v>
      </c>
      <c r="Q9" s="5">
        <v>1.7761514214567032E-3</v>
      </c>
    </row>
    <row r="10" spans="1:25" x14ac:dyDescent="0.3">
      <c r="C10" s="5"/>
      <c r="D10" s="3">
        <v>36993.386545381538</v>
      </c>
      <c r="E10" s="5">
        <v>6.5353331230059361E-3</v>
      </c>
      <c r="F10" s="3">
        <f t="shared" si="0"/>
        <v>36993.393080714661</v>
      </c>
      <c r="G10" s="5">
        <f t="shared" si="1"/>
        <v>2.6762410416267812E-3</v>
      </c>
      <c r="H10" t="s">
        <v>2</v>
      </c>
      <c r="I10" t="str" cm="1">
        <f t="array" aca="1" ref="I10" ca="1">INDEX($A$2:$A$1048576,RANDBETWEEN(1,3),1)</f>
        <v xml:space="preserve">cash </v>
      </c>
      <c r="J10" t="str" cm="1">
        <f t="array" aca="1" ref="J10" ca="1">INDEX($B$2:$B$3,IF(RAND()&gt;0.65,1,2),1)</f>
        <v>female</v>
      </c>
      <c r="K10" t="str">
        <f t="shared" ca="1" si="2"/>
        <v xml:space="preserve"> female</v>
      </c>
      <c r="L10" s="9"/>
      <c r="M10" s="9" t="s">
        <v>46</v>
      </c>
      <c r="N10" s="5">
        <v>5.9328703703703696E-3</v>
      </c>
      <c r="O10" s="5">
        <v>3.9081790123456795E-3</v>
      </c>
      <c r="P10" s="5">
        <v>4.9953703703703705E-3</v>
      </c>
      <c r="Q10" s="5">
        <v>4.7270955165692003E-3</v>
      </c>
      <c r="V10">
        <v>8</v>
      </c>
      <c r="W10">
        <v>1</v>
      </c>
      <c r="X10">
        <v>5</v>
      </c>
      <c r="Y10">
        <f t="shared" ref="Y10:Y13" si="3">W10*X10</f>
        <v>5</v>
      </c>
    </row>
    <row r="11" spans="1:25" x14ac:dyDescent="0.3">
      <c r="D11" s="3">
        <v>36993.395756955702</v>
      </c>
      <c r="E11" s="5">
        <v>4.4341006465159934E-3</v>
      </c>
      <c r="F11" s="3">
        <f t="shared" si="0"/>
        <v>36993.400191056346</v>
      </c>
      <c r="G11" s="5">
        <f t="shared" si="1"/>
        <v>0</v>
      </c>
      <c r="H11" t="s">
        <v>2</v>
      </c>
      <c r="I11" t="str" cm="1">
        <f t="array" aca="1" ref="I11" ca="1">INDEX($A$2:$A$1048576,RANDBETWEEN(1,3),1)</f>
        <v>currency</v>
      </c>
      <c r="J11" t="str" cm="1">
        <f t="array" aca="1" ref="J11" ca="1">INDEX($B$2:$B$3,IF(RAND()&gt;0.65,1,2),1)</f>
        <v>female</v>
      </c>
      <c r="K11" t="str">
        <f t="shared" ca="1" si="2"/>
        <v xml:space="preserve"> female</v>
      </c>
      <c r="L11" s="7"/>
      <c r="M11" s="7" t="s">
        <v>0</v>
      </c>
      <c r="N11" s="5"/>
      <c r="O11" s="5"/>
      <c r="P11" s="5"/>
      <c r="Q11" s="5"/>
      <c r="V11">
        <v>9</v>
      </c>
      <c r="W11">
        <v>1</v>
      </c>
      <c r="X11">
        <v>13</v>
      </c>
      <c r="Y11">
        <f t="shared" si="3"/>
        <v>13</v>
      </c>
    </row>
    <row r="12" spans="1:25" x14ac:dyDescent="0.3">
      <c r="D12" s="3">
        <v>36993.400191056346</v>
      </c>
      <c r="E12" s="5">
        <v>4.1409022664828446E-3</v>
      </c>
      <c r="F12" s="3">
        <f t="shared" si="0"/>
        <v>36993.404331958613</v>
      </c>
      <c r="G12" s="5">
        <f t="shared" si="1"/>
        <v>2.319455670658499E-4</v>
      </c>
      <c r="H12" t="s">
        <v>2</v>
      </c>
      <c r="I12" t="str" cm="1">
        <f t="array" aca="1" ref="I12" ca="1">INDEX($A$2:$A$1048576,RANDBETWEEN(1,3),1)</f>
        <v xml:space="preserve">cash </v>
      </c>
      <c r="J12" t="str" cm="1">
        <f t="array" aca="1" ref="J12" ca="1">INDEX($B$2:$B$3,IF(RAND()&gt;0.65,1,2),1)</f>
        <v>female</v>
      </c>
      <c r="K12" t="str">
        <f t="shared" ca="1" si="2"/>
        <v xml:space="preserve"> female</v>
      </c>
      <c r="L12" s="9"/>
      <c r="M12" s="9" t="s">
        <v>51</v>
      </c>
      <c r="N12" s="5">
        <v>1.3707191332234098E-3</v>
      </c>
      <c r="O12" s="5">
        <v>1.3271689051915512E-3</v>
      </c>
      <c r="P12" s="5">
        <v>1.0639338142853071E-3</v>
      </c>
      <c r="Q12" s="5">
        <v>1.2604990447010003E-3</v>
      </c>
      <c r="V12">
        <v>10</v>
      </c>
      <c r="W12">
        <v>1</v>
      </c>
      <c r="X12">
        <v>6</v>
      </c>
      <c r="Y12">
        <f t="shared" si="3"/>
        <v>6</v>
      </c>
    </row>
    <row r="13" spans="1:25" x14ac:dyDescent="0.3">
      <c r="D13" s="3">
        <v>36993.40456390418</v>
      </c>
      <c r="E13" s="5">
        <v>6.2902737515802779E-3</v>
      </c>
      <c r="F13" s="3">
        <f t="shared" si="0"/>
        <v>36993.410854177928</v>
      </c>
      <c r="G13" s="5">
        <f t="shared" si="1"/>
        <v>8.1135927030118182E-4</v>
      </c>
      <c r="H13" t="s">
        <v>2</v>
      </c>
      <c r="I13" t="str" cm="1">
        <f t="array" aca="1" ref="I13" ca="1">INDEX($A$2:$A$1048576,RANDBETWEEN(1,3),1)</f>
        <v xml:space="preserve">cash </v>
      </c>
      <c r="J13" t="str" cm="1">
        <f t="array" aca="1" ref="J13" ca="1">INDEX($B$2:$B$3,IF(RAND()&gt;0.65,1,2),1)</f>
        <v>female</v>
      </c>
      <c r="K13" t="str">
        <f t="shared" ca="1" si="2"/>
        <v>male</v>
      </c>
      <c r="L13" s="9"/>
      <c r="M13" s="9" t="s">
        <v>46</v>
      </c>
      <c r="N13" s="5">
        <v>5.2618634259259268E-3</v>
      </c>
      <c r="O13" s="5">
        <v>5.3112139917695471E-3</v>
      </c>
      <c r="P13" s="5">
        <v>4.9421296296296297E-3</v>
      </c>
      <c r="Q13" s="5">
        <v>5.2515838206627684E-3</v>
      </c>
      <c r="V13">
        <v>11</v>
      </c>
      <c r="W13">
        <v>1</v>
      </c>
      <c r="X13">
        <v>6</v>
      </c>
      <c r="Y13">
        <f t="shared" si="3"/>
        <v>6</v>
      </c>
    </row>
    <row r="14" spans="1:25" x14ac:dyDescent="0.3">
      <c r="D14" s="3">
        <v>36993.411665537198</v>
      </c>
      <c r="E14" s="5">
        <v>2.17692436775219E-3</v>
      </c>
      <c r="F14" s="3">
        <f t="shared" si="0"/>
        <v>36993.413842461567</v>
      </c>
      <c r="G14" s="5">
        <f t="shared" si="1"/>
        <v>2.6208932031295262E-3</v>
      </c>
      <c r="H14" t="s">
        <v>2</v>
      </c>
      <c r="I14" t="str" cm="1">
        <f t="array" aca="1" ref="I14" ca="1">INDEX($A$2:$A$1048576,RANDBETWEEN(1,3),1)</f>
        <v xml:space="preserve">cash </v>
      </c>
      <c r="J14" t="str" cm="1">
        <f t="array" aca="1" ref="J14" ca="1">INDEX($B$2:$B$3,IF(RAND()&gt;0.65,1,2),1)</f>
        <v>female</v>
      </c>
      <c r="K14" t="str">
        <f t="shared" ca="1" si="2"/>
        <v xml:space="preserve"> female</v>
      </c>
      <c r="L14" s="7"/>
      <c r="M14" s="7" t="s">
        <v>50</v>
      </c>
      <c r="N14" s="5">
        <v>1.6326720545242058E-3</v>
      </c>
      <c r="O14" s="5">
        <v>1.4568052886610497E-3</v>
      </c>
      <c r="P14" s="5">
        <v>1.5317145443924944E-3</v>
      </c>
      <c r="Q14" s="5">
        <v>1.5203489345944707E-3</v>
      </c>
      <c r="V14">
        <v>12</v>
      </c>
      <c r="W14">
        <v>1</v>
      </c>
      <c r="X14">
        <v>8</v>
      </c>
      <c r="Y14">
        <f t="shared" ref="Y14:Y16" si="4">W14*X14</f>
        <v>8</v>
      </c>
    </row>
    <row r="15" spans="1:25" x14ac:dyDescent="0.3">
      <c r="D15" s="3">
        <v>36993.41646335477</v>
      </c>
      <c r="E15" s="5">
        <v>3.3675167252290349E-3</v>
      </c>
      <c r="F15" s="3">
        <f t="shared" si="0"/>
        <v>36993.419830871499</v>
      </c>
      <c r="G15" s="5">
        <f t="shared" si="1"/>
        <v>6.1916038248455152E-4</v>
      </c>
      <c r="H15" t="s">
        <v>2</v>
      </c>
      <c r="I15" t="str" cm="1">
        <f t="array" aca="1" ref="I15" ca="1">INDEX($A$2:$A$1048576,RANDBETWEEN(1,3),1)</f>
        <v>currency</v>
      </c>
      <c r="J15" t="str" cm="1">
        <f t="array" aca="1" ref="J15" ca="1">INDEX($B$2:$B$3,IF(RAND()&gt;0.65,1,2),1)</f>
        <v>female</v>
      </c>
      <c r="K15" t="str">
        <f t="shared" ca="1" si="2"/>
        <v>male</v>
      </c>
      <c r="L15" s="7"/>
      <c r="M15" s="7" t="s">
        <v>49</v>
      </c>
      <c r="N15" s="5">
        <v>5.099022633744856E-3</v>
      </c>
      <c r="O15" s="5">
        <v>4.7111992945326284E-3</v>
      </c>
      <c r="P15" s="5">
        <v>5.0559413580246911E-3</v>
      </c>
      <c r="Q15" s="5">
        <v>4.942535737491878E-3</v>
      </c>
      <c r="V15">
        <v>13</v>
      </c>
      <c r="W15">
        <v>1</v>
      </c>
      <c r="X15">
        <v>15</v>
      </c>
      <c r="Y15">
        <f t="shared" si="4"/>
        <v>15</v>
      </c>
    </row>
    <row r="16" spans="1:25" x14ac:dyDescent="0.3">
      <c r="D16" s="3">
        <v>36993.420450031881</v>
      </c>
      <c r="E16" s="5">
        <v>2.7525982146133273E-3</v>
      </c>
      <c r="F16" s="3">
        <f t="shared" si="0"/>
        <v>36993.423202630096</v>
      </c>
      <c r="G16" s="5">
        <f t="shared" si="1"/>
        <v>1.9583389148465358E-3</v>
      </c>
      <c r="H16" t="s">
        <v>2</v>
      </c>
      <c r="I16" t="str" cm="1">
        <f t="array" aca="1" ref="I16" ca="1">INDEX($A$2:$A$1048576,RANDBETWEEN(1,3),1)</f>
        <v>account</v>
      </c>
      <c r="J16" t="str" cm="1">
        <f t="array" aca="1" ref="J16" ca="1">INDEX($B$2:$B$3,IF(RAND()&gt;0.65,1,2),1)</f>
        <v>male</v>
      </c>
      <c r="K16" t="str">
        <f t="shared" ca="1" si="2"/>
        <v>male</v>
      </c>
      <c r="V16">
        <v>14</v>
      </c>
      <c r="W16">
        <v>1</v>
      </c>
      <c r="X16">
        <v>7</v>
      </c>
      <c r="Y16">
        <f t="shared" si="4"/>
        <v>7</v>
      </c>
    </row>
    <row r="17" spans="4:25" x14ac:dyDescent="0.3">
      <c r="D17" s="3">
        <v>36993.425160969011</v>
      </c>
      <c r="E17" s="5">
        <v>5.5032384082844771E-3</v>
      </c>
      <c r="F17" s="3">
        <f t="shared" si="0"/>
        <v>36993.430664207423</v>
      </c>
      <c r="G17" s="5">
        <f t="shared" si="1"/>
        <v>7.5291872053639963E-4</v>
      </c>
      <c r="H17" t="s">
        <v>2</v>
      </c>
      <c r="I17" t="str" cm="1">
        <f t="array" aca="1" ref="I17" ca="1">INDEX($A$2:$A$1048576,RANDBETWEEN(1,3),1)</f>
        <v>account</v>
      </c>
      <c r="J17" t="str" cm="1">
        <f t="array" aca="1" ref="J17" ca="1">INDEX($B$2:$B$3,IF(RAND()&gt;0.65,1,2),1)</f>
        <v>male</v>
      </c>
      <c r="K17" t="str">
        <f t="shared" ca="1" si="2"/>
        <v xml:space="preserve"> female</v>
      </c>
      <c r="W17" t="s">
        <v>20</v>
      </c>
      <c r="Y17">
        <f>SUM(Y3:Y16)</f>
        <v>60</v>
      </c>
    </row>
    <row r="18" spans="4:25" x14ac:dyDescent="0.3">
      <c r="D18" s="3">
        <v>36993.431417126143</v>
      </c>
      <c r="E18" s="5">
        <v>6.4670207697030309E-3</v>
      </c>
      <c r="F18" s="3">
        <f t="shared" si="0"/>
        <v>36993.437884146915</v>
      </c>
      <c r="G18" s="5">
        <f t="shared" si="1"/>
        <v>2.3596007085870951E-3</v>
      </c>
      <c r="H18" t="s">
        <v>2</v>
      </c>
      <c r="I18" t="str" cm="1">
        <f t="array" aca="1" ref="I18" ca="1">INDEX($A$2:$A$1048576,RANDBETWEEN(1,3),1)</f>
        <v>account</v>
      </c>
      <c r="J18" t="str" cm="1">
        <f t="array" aca="1" ref="J18" ca="1">INDEX($B$2:$B$3,IF(RAND()&gt;0.65,1,2),1)</f>
        <v>female</v>
      </c>
      <c r="K18" t="str">
        <f t="shared" ca="1" si="2"/>
        <v xml:space="preserve"> female</v>
      </c>
    </row>
    <row r="19" spans="4:25" x14ac:dyDescent="0.3">
      <c r="D19" s="3">
        <v>36993.440243747624</v>
      </c>
      <c r="E19" s="5">
        <v>2.5064223168977484E-3</v>
      </c>
      <c r="F19" s="3">
        <f t="shared" si="0"/>
        <v>36993.442750169939</v>
      </c>
      <c r="G19" s="5">
        <f t="shared" si="1"/>
        <v>2.9368171381065622E-3</v>
      </c>
      <c r="H19" t="s">
        <v>2</v>
      </c>
      <c r="I19" t="str" cm="1">
        <f t="array" aca="1" ref="I19" ca="1">INDEX($A$2:$A$1048576,RANDBETWEEN(1,3),1)</f>
        <v xml:space="preserve">cash </v>
      </c>
      <c r="J19" t="str" cm="1">
        <f t="array" aca="1" ref="J19" ca="1">INDEX($B$2:$B$3,IF(RAND()&gt;0.65,1,2),1)</f>
        <v>female</v>
      </c>
      <c r="K19" t="str">
        <f t="shared" ca="1" si="2"/>
        <v>male</v>
      </c>
    </row>
    <row r="20" spans="4:25" x14ac:dyDescent="0.3">
      <c r="D20" s="3">
        <v>36993.445686987077</v>
      </c>
      <c r="E20" s="5">
        <v>3.3212851577426421E-3</v>
      </c>
      <c r="F20" s="3">
        <f t="shared" si="0"/>
        <v>36993.449008272233</v>
      </c>
      <c r="G20" s="5">
        <v>1.1574074074074073E-5</v>
      </c>
      <c r="H20" t="s">
        <v>2</v>
      </c>
      <c r="I20" t="str" cm="1">
        <f t="array" aca="1" ref="I20" ca="1">INDEX($A$2:$A$1048576,RANDBETWEEN(1,3),1)</f>
        <v>account</v>
      </c>
      <c r="J20" t="str" cm="1">
        <f t="array" aca="1" ref="J20" ca="1">INDEX($B$2:$B$3,IF(RAND()&gt;0.65,1,2),1)</f>
        <v>female</v>
      </c>
      <c r="K20" t="str">
        <f t="shared" ca="1" si="2"/>
        <v>male</v>
      </c>
      <c r="M20" s="22" t="s">
        <v>44</v>
      </c>
    </row>
    <row r="21" spans="4:25" x14ac:dyDescent="0.3">
      <c r="D21" s="3">
        <v>36993.333333333336</v>
      </c>
      <c r="E21" s="5">
        <v>4.3215778214840146E-3</v>
      </c>
      <c r="F21" s="3">
        <f t="shared" si="0"/>
        <v>36993.337654911156</v>
      </c>
      <c r="G21" s="5">
        <f t="shared" si="1"/>
        <v>0</v>
      </c>
      <c r="H21" t="s">
        <v>1</v>
      </c>
      <c r="I21" t="str" cm="1">
        <f t="array" aca="1" ref="I21" ca="1">INDEX($A$2:$A$1048576,RANDBETWEEN(1,3),1)</f>
        <v>currency</v>
      </c>
      <c r="J21" t="str" cm="1">
        <f t="array" aca="1" ref="J21" ca="1">INDEX($B$2:$B$3,IF(RAND()&gt;0.65,1,2),1)</f>
        <v>male</v>
      </c>
      <c r="K21" t="str">
        <f t="shared" ca="1" si="2"/>
        <v>male</v>
      </c>
      <c r="L21" s="7"/>
      <c r="M21" s="7" t="s">
        <v>2</v>
      </c>
      <c r="N21" s="3"/>
      <c r="P21" s="5"/>
      <c r="Q21" s="5"/>
      <c r="R21" s="5"/>
      <c r="S21" s="5"/>
      <c r="T21" s="5"/>
    </row>
    <row r="22" spans="4:25" x14ac:dyDescent="0.3">
      <c r="D22" s="3">
        <v>36993.337654911156</v>
      </c>
      <c r="E22" s="5">
        <v>2.9697990369631179E-3</v>
      </c>
      <c r="F22" s="3">
        <f t="shared" si="0"/>
        <v>36993.340624710196</v>
      </c>
      <c r="G22" s="5">
        <f t="shared" si="1"/>
        <v>7.0166858495213091E-4</v>
      </c>
      <c r="H22" t="s">
        <v>1</v>
      </c>
      <c r="I22" t="str" cm="1">
        <f t="array" aca="1" ref="I22" ca="1">INDEX($A$2:$A$1048576,RANDBETWEEN(1,3),1)</f>
        <v xml:space="preserve">cash </v>
      </c>
      <c r="J22" t="str" cm="1">
        <f t="array" aca="1" ref="J22" ca="1">INDEX($B$2:$B$3,IF(RAND()&gt;0.65,1,2),1)</f>
        <v>male</v>
      </c>
      <c r="K22" t="str">
        <f t="shared" ca="1" si="2"/>
        <v>male</v>
      </c>
      <c r="L22" s="7"/>
      <c r="M22" s="9" t="s">
        <v>52</v>
      </c>
      <c r="N22" s="5">
        <v>36993.333333333336</v>
      </c>
      <c r="P22" s="5"/>
      <c r="Q22" s="5"/>
      <c r="R22" s="5"/>
      <c r="S22" s="5"/>
      <c r="T22" s="5"/>
    </row>
    <row r="23" spans="4:25" x14ac:dyDescent="0.3">
      <c r="D23" s="3">
        <v>36993.341326378781</v>
      </c>
      <c r="E23" s="5">
        <v>3.0166470733646511E-3</v>
      </c>
      <c r="F23" s="3">
        <f t="shared" si="0"/>
        <v>36993.344343025856</v>
      </c>
      <c r="G23" s="5">
        <f t="shared" si="1"/>
        <v>1.3695556845050305E-3</v>
      </c>
      <c r="H23" t="s">
        <v>1</v>
      </c>
      <c r="I23" t="str" cm="1">
        <f t="array" aca="1" ref="I23" ca="1">INDEX($A$2:$A$1048576,RANDBETWEEN(1,3),1)</f>
        <v xml:space="preserve">cash </v>
      </c>
      <c r="J23" t="str" cm="1">
        <f t="array" aca="1" ref="J23" ca="1">INDEX($B$2:$B$3,IF(RAND()&gt;0.65,1,2),1)</f>
        <v>female</v>
      </c>
      <c r="K23" t="str">
        <f t="shared" ca="1" si="2"/>
        <v>male</v>
      </c>
      <c r="L23" s="7"/>
      <c r="M23" s="9" t="s">
        <v>53</v>
      </c>
      <c r="N23" s="5">
        <v>36993.449004629627</v>
      </c>
      <c r="P23" s="5"/>
      <c r="Q23" s="5"/>
      <c r="R23" s="5"/>
      <c r="S23" s="5"/>
      <c r="T23" s="5"/>
    </row>
    <row r="24" spans="4:25" x14ac:dyDescent="0.3">
      <c r="D24" s="3">
        <v>36993.34571258154</v>
      </c>
      <c r="E24" s="5">
        <v>2.491524694715092E-3</v>
      </c>
      <c r="F24" s="3">
        <f t="shared" si="0"/>
        <v>36993.348204106238</v>
      </c>
      <c r="G24" s="5">
        <f t="shared" si="1"/>
        <v>2.6465247210580856E-3</v>
      </c>
      <c r="H24" t="s">
        <v>1</v>
      </c>
      <c r="I24" t="str" cm="1">
        <f t="array" aca="1" ref="I24" ca="1">INDEX($A$2:$A$1048576,RANDBETWEEN(1,3),1)</f>
        <v>account</v>
      </c>
      <c r="J24" t="str" cm="1">
        <f t="array" aca="1" ref="J24" ca="1">INDEX($B$2:$B$3,IF(RAND()&gt;0.65,1,2),1)</f>
        <v>male</v>
      </c>
      <c r="K24" t="str">
        <f t="shared" ca="1" si="2"/>
        <v>male</v>
      </c>
      <c r="M24" s="9" t="s">
        <v>56</v>
      </c>
      <c r="N24" s="5">
        <v>2.3530092592592592E-2</v>
      </c>
      <c r="S24" t="s">
        <v>58</v>
      </c>
    </row>
    <row r="25" spans="4:25" x14ac:dyDescent="0.3">
      <c r="D25" s="3">
        <v>36993.350850630959</v>
      </c>
      <c r="E25" s="5">
        <v>2.4773793409243561E-3</v>
      </c>
      <c r="F25" s="3">
        <f t="shared" si="0"/>
        <v>36993.3533280103</v>
      </c>
      <c r="G25" s="5">
        <f t="shared" si="1"/>
        <v>1.5537862782366574E-3</v>
      </c>
      <c r="H25" t="s">
        <v>1</v>
      </c>
      <c r="I25" t="str" cm="1">
        <f t="array" aca="1" ref="I25" ca="1">INDEX($A$2:$A$1048576,RANDBETWEEN(1,3),1)</f>
        <v>currency</v>
      </c>
      <c r="J25" t="str" cm="1">
        <f t="array" aca="1" ref="J25" ca="1">INDEX($B$2:$B$3,IF(RAND()&gt;0.65,1,2),1)</f>
        <v>female</v>
      </c>
      <c r="K25" t="str">
        <f t="shared" ca="1" si="2"/>
        <v xml:space="preserve"> female</v>
      </c>
      <c r="L25" s="7"/>
      <c r="M25" s="7" t="s">
        <v>1</v>
      </c>
      <c r="N25" s="5"/>
      <c r="P25" s="8"/>
      <c r="Q25" s="8"/>
      <c r="R25" s="8"/>
      <c r="S25" s="8"/>
      <c r="T25" s="8"/>
    </row>
    <row r="26" spans="4:25" x14ac:dyDescent="0.3">
      <c r="D26" s="3">
        <v>36993.354881796578</v>
      </c>
      <c r="E26" s="5">
        <v>5.6061428312094664E-3</v>
      </c>
      <c r="F26" s="3">
        <f t="shared" si="0"/>
        <v>36993.360487939412</v>
      </c>
      <c r="G26" s="5">
        <f t="shared" si="1"/>
        <v>2.8764208618667908E-3</v>
      </c>
      <c r="H26" t="s">
        <v>1</v>
      </c>
      <c r="I26" t="str" cm="1">
        <f t="array" aca="1" ref="I26" ca="1">INDEX($A$2:$A$1048576,RANDBETWEEN(1,3),1)</f>
        <v xml:space="preserve">cash </v>
      </c>
      <c r="J26" t="str" cm="1">
        <f t="array" aca="1" ref="J26" ca="1">INDEX($B$2:$B$3,IF(RAND()&gt;0.65,1,2),1)</f>
        <v>female</v>
      </c>
      <c r="K26" t="str">
        <f t="shared" ca="1" si="2"/>
        <v>male</v>
      </c>
      <c r="L26" s="7"/>
      <c r="M26" s="9" t="s">
        <v>52</v>
      </c>
      <c r="N26" s="5">
        <v>36993.333333333336</v>
      </c>
    </row>
    <row r="27" spans="4:25" x14ac:dyDescent="0.3">
      <c r="D27" s="3">
        <v>36993.363364360273</v>
      </c>
      <c r="E27" s="5">
        <v>6.1045926586618688E-3</v>
      </c>
      <c r="F27" s="3">
        <f t="shared" si="0"/>
        <v>36993.369468952929</v>
      </c>
      <c r="G27" s="5">
        <f t="shared" si="1"/>
        <v>1.2046582560287789E-4</v>
      </c>
      <c r="H27" t="s">
        <v>1</v>
      </c>
      <c r="I27" t="str" cm="1">
        <f t="array" aca="1" ref="I27" ca="1">INDEX($A$2:$A$1048576,RANDBETWEEN(1,3),1)</f>
        <v>account</v>
      </c>
      <c r="J27" t="str" cm="1">
        <f t="array" aca="1" ref="J27" ca="1">INDEX($B$2:$B$3,IF(RAND()&gt;0.65,1,2),1)</f>
        <v>female</v>
      </c>
      <c r="K27" t="str">
        <f t="shared" ca="1" si="2"/>
        <v xml:space="preserve"> female</v>
      </c>
      <c r="M27" s="9" t="s">
        <v>53</v>
      </c>
      <c r="N27" s="5">
        <v>36993.446898148148</v>
      </c>
    </row>
    <row r="28" spans="4:25" x14ac:dyDescent="0.3">
      <c r="D28" s="3">
        <v>36993.369589418755</v>
      </c>
      <c r="E28" s="5">
        <v>6.3864787491740224E-3</v>
      </c>
      <c r="F28" s="3">
        <f t="shared" si="0"/>
        <v>36993.375975897507</v>
      </c>
      <c r="G28" s="5">
        <f t="shared" si="1"/>
        <v>3.5822037170873955E-4</v>
      </c>
      <c r="H28" t="s">
        <v>1</v>
      </c>
      <c r="I28" t="str" cm="1">
        <f t="array" aca="1" ref="I28" ca="1">INDEX($A$2:$A$1048576,RANDBETWEEN(1,3),1)</f>
        <v xml:space="preserve">cash </v>
      </c>
      <c r="J28" t="str" cm="1">
        <f t="array" aca="1" ref="J28" ca="1">INDEX($B$2:$B$3,IF(RAND()&gt;0.65,1,2),1)</f>
        <v>female</v>
      </c>
      <c r="K28" t="str">
        <f t="shared" ca="1" si="2"/>
        <v xml:space="preserve"> female</v>
      </c>
      <c r="M28" s="9" t="s">
        <v>56</v>
      </c>
      <c r="N28" s="5">
        <v>2.3738425925925927E-2</v>
      </c>
      <c r="R28" s="2"/>
    </row>
    <row r="29" spans="4:25" x14ac:dyDescent="0.3">
      <c r="D29" s="3">
        <v>36993.376334117878</v>
      </c>
      <c r="E29" s="5">
        <v>6.7486458725245172E-3</v>
      </c>
      <c r="F29" s="3">
        <f t="shared" si="0"/>
        <v>36993.38308276375</v>
      </c>
      <c r="G29" s="5">
        <f t="shared" si="1"/>
        <v>2.2584559192182496E-3</v>
      </c>
      <c r="H29" t="s">
        <v>1</v>
      </c>
      <c r="I29" t="str" cm="1">
        <f t="array" aca="1" ref="I29" ca="1">INDEX($A$2:$A$1048576,RANDBETWEEN(1,3),1)</f>
        <v>currency</v>
      </c>
      <c r="J29" t="str" cm="1">
        <f t="array" aca="1" ref="J29" ca="1">INDEX($B$2:$B$3,IF(RAND()&gt;0.65,1,2),1)</f>
        <v>female</v>
      </c>
      <c r="K29" t="str">
        <f t="shared" ca="1" si="2"/>
        <v xml:space="preserve"> female</v>
      </c>
      <c r="M29" s="7" t="s">
        <v>0</v>
      </c>
      <c r="N29" s="5"/>
      <c r="T29" s="2" t="s">
        <v>61</v>
      </c>
    </row>
    <row r="30" spans="4:25" x14ac:dyDescent="0.3">
      <c r="D30" s="3">
        <v>36993.385341219669</v>
      </c>
      <c r="E30" s="5">
        <v>3.7329488813669189E-3</v>
      </c>
      <c r="F30" s="3">
        <f t="shared" si="0"/>
        <v>36993.389074168554</v>
      </c>
      <c r="G30" s="5">
        <f t="shared" si="1"/>
        <v>2.9559036265709437E-3</v>
      </c>
      <c r="H30" t="s">
        <v>1</v>
      </c>
      <c r="I30" t="str" cm="1">
        <f t="array" aca="1" ref="I30" ca="1">INDEX($A$2:$A$1048576,RANDBETWEEN(1,3),1)</f>
        <v>currency</v>
      </c>
      <c r="J30" t="str" cm="1">
        <f t="array" aca="1" ref="J30" ca="1">INDEX($B$2:$B$3,IF(RAND()&gt;0.65,1,2),1)</f>
        <v>male</v>
      </c>
      <c r="K30" t="str">
        <f t="shared" ca="1" si="2"/>
        <v xml:space="preserve"> female</v>
      </c>
      <c r="M30" s="9" t="s">
        <v>52</v>
      </c>
      <c r="N30" s="5">
        <v>36993.333333333336</v>
      </c>
      <c r="P30" s="23" t="s">
        <v>2</v>
      </c>
      <c r="T30" s="26">
        <f>1-GETPIVOTDATA("סכום של Idle time",$M$20,"teller","Glendora Machen")/(GETPIVOTDATA("מקסימום של end time",$M$20,"teller","Glendora Machen")-GETPIVOTDATA("מינימום של start time",$M$20,"teller","Glendora Machen"))</f>
        <v>0.79657794675894278</v>
      </c>
    </row>
    <row r="31" spans="4:25" x14ac:dyDescent="0.3">
      <c r="D31" s="3">
        <v>36993.39203007218</v>
      </c>
      <c r="E31" s="5">
        <v>3.1426495917765383E-3</v>
      </c>
      <c r="F31" s="3">
        <f t="shared" si="0"/>
        <v>36993.395172721772</v>
      </c>
      <c r="G31" s="5">
        <f t="shared" si="1"/>
        <v>0</v>
      </c>
      <c r="H31" t="s">
        <v>1</v>
      </c>
      <c r="I31" t="str" cm="1">
        <f t="array" aca="1" ref="I31" ca="1">INDEX($A$2:$A$1048576,RANDBETWEEN(1,3),1)</f>
        <v>account</v>
      </c>
      <c r="J31" t="str" cm="1">
        <f t="array" aca="1" ref="J31" ca="1">INDEX($B$2:$B$3,IF(RAND()&gt;0.65,1,2),1)</f>
        <v>female</v>
      </c>
      <c r="K31" t="str">
        <f t="shared" ca="1" si="2"/>
        <v xml:space="preserve"> female</v>
      </c>
      <c r="M31" s="9" t="s">
        <v>53</v>
      </c>
      <c r="N31" s="5">
        <v>36993.454467592594</v>
      </c>
      <c r="P31" s="23" t="s">
        <v>1</v>
      </c>
      <c r="T31" s="26">
        <f>1-GETPIVOTDATA("סכום של Idle time",$M$20,"teller","Korey Brookover  ")/(GETPIVOTDATA("מקסימום של end time",$M$20,"teller","Korey Brookover  ")-GETPIVOTDATA("מינימום של start time",$M$20,"teller","Korey Brookover  "))</f>
        <v>0.79097024051659193</v>
      </c>
    </row>
    <row r="32" spans="4:25" x14ac:dyDescent="0.3">
      <c r="D32" s="3">
        <v>36993.395172721772</v>
      </c>
      <c r="E32" s="5">
        <v>6.2278459944335347E-3</v>
      </c>
      <c r="F32" s="3">
        <f t="shared" si="0"/>
        <v>36993.401400567767</v>
      </c>
      <c r="G32" s="5">
        <f t="shared" si="1"/>
        <v>0</v>
      </c>
      <c r="H32" t="s">
        <v>1</v>
      </c>
      <c r="I32" t="str" cm="1">
        <f t="array" aca="1" ref="I32" ca="1">INDEX($A$2:$A$1048576,RANDBETWEEN(1,3),1)</f>
        <v>currency</v>
      </c>
      <c r="J32" t="str" cm="1">
        <f t="array" aca="1" ref="J32" ca="1">INDEX($B$2:$B$3,IF(RAND()&gt;0.65,1,2),1)</f>
        <v>female</v>
      </c>
      <c r="K32" t="str">
        <f t="shared" ca="1" si="2"/>
        <v xml:space="preserve"> female</v>
      </c>
      <c r="M32" s="9" t="s">
        <v>56</v>
      </c>
      <c r="N32" s="5">
        <v>2.1354166666666667E-2</v>
      </c>
      <c r="P32" s="23" t="s">
        <v>0</v>
      </c>
      <c r="T32" s="26">
        <f>1-GETPIVOTDATA("סכום של Idle time",$M$20,"teller","Vada Mushrush")/(GETPIVOTDATA("מקסימום של end time",$M$20,"teller","Vada Mushrush")-GETPIVOTDATA("מינימום של start time",$M$20,"teller","Vada Mushrush"))</f>
        <v>0.82371488629638834</v>
      </c>
    </row>
    <row r="33" spans="4:14" x14ac:dyDescent="0.3">
      <c r="D33" s="3">
        <v>36993.401400567767</v>
      </c>
      <c r="E33" s="5">
        <v>7.5041223715500739E-3</v>
      </c>
      <c r="F33" s="3">
        <f t="shared" si="0"/>
        <v>36993.408904690135</v>
      </c>
      <c r="G33" s="5">
        <f t="shared" si="1"/>
        <v>9.6168412710539997E-5</v>
      </c>
      <c r="H33" t="s">
        <v>1</v>
      </c>
      <c r="I33" t="str" cm="1">
        <f t="array" aca="1" ref="I33" ca="1">INDEX($A$2:$A$1048576,RANDBETWEEN(1,3),1)</f>
        <v xml:space="preserve">cash </v>
      </c>
      <c r="J33" t="str" cm="1">
        <f t="array" aca="1" ref="J33" ca="1">INDEX($B$2:$B$3,IF(RAND()&gt;0.65,1,2),1)</f>
        <v>female</v>
      </c>
      <c r="K33" t="str">
        <f t="shared" ca="1" si="2"/>
        <v xml:space="preserve"> female</v>
      </c>
      <c r="M33" s="7" t="s">
        <v>54</v>
      </c>
      <c r="N33" s="5">
        <v>36993.333333333336</v>
      </c>
    </row>
    <row r="34" spans="4:14" x14ac:dyDescent="0.3">
      <c r="D34" s="3">
        <v>36993.409000858548</v>
      </c>
      <c r="E34" s="5">
        <v>3.3484315062078385E-3</v>
      </c>
      <c r="F34" s="3">
        <f t="shared" si="0"/>
        <v>36993.412349290054</v>
      </c>
      <c r="G34" s="5">
        <f t="shared" si="1"/>
        <v>2.8441218819352798E-3</v>
      </c>
      <c r="H34" t="s">
        <v>1</v>
      </c>
      <c r="I34" t="str" cm="1">
        <f t="array" aca="1" ref="I34" ca="1">INDEX($A$2:$A$1048576,RANDBETWEEN(1,3),1)</f>
        <v xml:space="preserve">cash </v>
      </c>
      <c r="J34" t="str" cm="1">
        <f t="array" aca="1" ref="J34" ca="1">INDEX($B$2:$B$3,IF(RAND()&gt;0.65,1,2),1)</f>
        <v>female</v>
      </c>
      <c r="K34" t="str">
        <f t="shared" ca="1" si="2"/>
        <v xml:space="preserve"> female</v>
      </c>
      <c r="M34" s="7" t="s">
        <v>55</v>
      </c>
      <c r="N34" s="5">
        <v>36993.454467592594</v>
      </c>
    </row>
    <row r="35" spans="4:14" x14ac:dyDescent="0.3">
      <c r="D35" s="3">
        <v>36993.415193411936</v>
      </c>
      <c r="E35" s="5">
        <v>4.0429624521808386E-3</v>
      </c>
      <c r="F35" s="3">
        <f t="shared" si="0"/>
        <v>36993.419236374386</v>
      </c>
      <c r="G35" s="5">
        <f t="shared" si="1"/>
        <v>2.3827673867344856E-3</v>
      </c>
      <c r="H35" t="s">
        <v>1</v>
      </c>
      <c r="I35" t="str" cm="1">
        <f t="array" aca="1" ref="I35" ca="1">INDEX($A$2:$A$1048576,RANDBETWEEN(1,3),1)</f>
        <v xml:space="preserve">cash </v>
      </c>
      <c r="J35" t="str" cm="1">
        <f t="array" aca="1" ref="J35" ca="1">INDEX($B$2:$B$3,IF(RAND()&gt;0.65,1,2),1)</f>
        <v>female</v>
      </c>
      <c r="K35" t="str">
        <f t="shared" ca="1" si="2"/>
        <v xml:space="preserve"> female</v>
      </c>
      <c r="M35" s="7" t="s">
        <v>57</v>
      </c>
      <c r="N35" s="5">
        <v>6.8622685185185189E-2</v>
      </c>
    </row>
    <row r="36" spans="4:14" x14ac:dyDescent="0.3">
      <c r="D36" s="3">
        <v>36993.421619141773</v>
      </c>
      <c r="E36" s="5">
        <v>2.5587675868733251E-3</v>
      </c>
      <c r="F36" s="3">
        <f t="shared" si="0"/>
        <v>36993.424177909357</v>
      </c>
      <c r="G36" s="5">
        <f t="shared" si="1"/>
        <v>2.6263039035256952E-3</v>
      </c>
      <c r="H36" t="s">
        <v>1</v>
      </c>
      <c r="I36" t="str" cm="1">
        <f t="array" aca="1" ref="I36" ca="1">INDEX($A$2:$A$1048576,RANDBETWEEN(1,3),1)</f>
        <v xml:space="preserve">cash </v>
      </c>
      <c r="J36" t="str" cm="1">
        <f t="array" aca="1" ref="J36" ca="1">INDEX($B$2:$B$3,IF(RAND()&gt;0.65,1,2),1)</f>
        <v>female</v>
      </c>
      <c r="K36" t="str">
        <f t="shared" ca="1" si="2"/>
        <v>male</v>
      </c>
    </row>
    <row r="37" spans="4:14" x14ac:dyDescent="0.3">
      <c r="D37" s="3">
        <v>36993.426804213261</v>
      </c>
      <c r="E37" s="5">
        <v>5.4217362575014029E-3</v>
      </c>
      <c r="F37" s="3">
        <f t="shared" si="0"/>
        <v>36993.432225949517</v>
      </c>
      <c r="G37" s="5">
        <f t="shared" si="1"/>
        <v>9.4443863054038957E-4</v>
      </c>
      <c r="H37" t="s">
        <v>1</v>
      </c>
      <c r="I37" t="str" cm="1">
        <f t="array" aca="1" ref="I37" ca="1">INDEX($A$2:$A$1048576,RANDBETWEEN(1,3),1)</f>
        <v>account</v>
      </c>
      <c r="J37" t="str" cm="1">
        <f t="array" aca="1" ref="J37" ca="1">INDEX($B$2:$B$3,IF(RAND()&gt;0.65,1,2),1)</f>
        <v>female</v>
      </c>
      <c r="K37" t="str">
        <f t="shared" ca="1" si="2"/>
        <v xml:space="preserve"> female</v>
      </c>
    </row>
    <row r="38" spans="4:14" x14ac:dyDescent="0.3">
      <c r="D38" s="3">
        <v>36993.433170388147</v>
      </c>
      <c r="E38" s="5">
        <v>7.5602219686489881E-3</v>
      </c>
      <c r="F38" s="3">
        <f t="shared" si="0"/>
        <v>36993.440730610113</v>
      </c>
      <c r="G38" s="5">
        <f t="shared" si="1"/>
        <v>0</v>
      </c>
      <c r="H38" t="s">
        <v>1</v>
      </c>
      <c r="I38" t="str" cm="1">
        <f t="array" aca="1" ref="I38" ca="1">INDEX($A$2:$A$1048576,RANDBETWEEN(1,3),1)</f>
        <v xml:space="preserve">cash </v>
      </c>
      <c r="J38" t="str" cm="1">
        <f t="array" aca="1" ref="J38" ca="1">INDEX($B$2:$B$3,IF(RAND()&gt;0.65,1,2),1)</f>
        <v>female</v>
      </c>
      <c r="K38" t="str">
        <f t="shared" ca="1" si="2"/>
        <v xml:space="preserve"> female</v>
      </c>
    </row>
    <row r="39" spans="4:14" x14ac:dyDescent="0.3">
      <c r="D39" s="3">
        <v>36993.440730610113</v>
      </c>
      <c r="E39" s="5">
        <v>6.1686837215224506E-3</v>
      </c>
      <c r="F39" s="3">
        <f t="shared" si="0"/>
        <v>36993.446899293835</v>
      </c>
      <c r="G39" s="5">
        <v>1.1574074074074073E-5</v>
      </c>
      <c r="H39" t="s">
        <v>1</v>
      </c>
      <c r="I39" t="str" cm="1">
        <f t="array" aca="1" ref="I39" ca="1">INDEX($A$2:$A$1048576,RANDBETWEEN(1,3),1)</f>
        <v xml:space="preserve">cash </v>
      </c>
      <c r="J39" t="str" cm="1">
        <f t="array" aca="1" ref="J39" ca="1">INDEX($B$2:$B$3,IF(RAND()&gt;0.65,1,2),1)</f>
        <v>female</v>
      </c>
      <c r="K39" t="str">
        <f t="shared" ca="1" si="2"/>
        <v xml:space="preserve"> female</v>
      </c>
    </row>
    <row r="40" spans="4:14" x14ac:dyDescent="0.3">
      <c r="D40" s="3">
        <v>36993.333333333336</v>
      </c>
      <c r="E40" s="5">
        <v>3.9349694111258555E-3</v>
      </c>
      <c r="F40" s="3">
        <f t="shared" si="0"/>
        <v>36993.337268302748</v>
      </c>
      <c r="G40" s="5">
        <f t="shared" si="1"/>
        <v>3.3045923846657388E-3</v>
      </c>
      <c r="H40" t="s">
        <v>0</v>
      </c>
      <c r="I40" t="str" cm="1">
        <f t="array" aca="1" ref="I40" ca="1">INDEX($A$2:$A$1048576,RANDBETWEEN(1,3),1)</f>
        <v>currency</v>
      </c>
      <c r="J40" t="str" cm="1">
        <f t="array" aca="1" ref="J40" ca="1">INDEX($B$2:$B$3,IF(RAND()&gt;0.65,1,2),1)</f>
        <v>female</v>
      </c>
      <c r="K40" t="str">
        <f t="shared" ca="1" si="2"/>
        <v xml:space="preserve"> female</v>
      </c>
    </row>
    <row r="41" spans="4:14" x14ac:dyDescent="0.3">
      <c r="D41" s="3">
        <v>36993.340572895133</v>
      </c>
      <c r="E41" s="5">
        <v>4.1893981225033083E-3</v>
      </c>
      <c r="F41" s="3">
        <f t="shared" si="0"/>
        <v>36993.344762293258</v>
      </c>
      <c r="G41" s="5">
        <f t="shared" si="1"/>
        <v>2.9172135109547526E-3</v>
      </c>
      <c r="H41" t="s">
        <v>0</v>
      </c>
      <c r="I41" t="str" cm="1">
        <f t="array" aca="1" ref="I41" ca="1">INDEX($A$2:$A$1048576,RANDBETWEEN(1,3),1)</f>
        <v xml:space="preserve">cash </v>
      </c>
      <c r="J41" t="str" cm="1">
        <f t="array" aca="1" ref="J41" ca="1">INDEX($B$2:$B$3,IF(RAND()&gt;0.65,1,2),1)</f>
        <v>female</v>
      </c>
      <c r="K41" t="str">
        <f t="shared" ca="1" si="2"/>
        <v>male</v>
      </c>
    </row>
    <row r="42" spans="4:14" x14ac:dyDescent="0.3">
      <c r="D42" s="3">
        <v>36993.347679506769</v>
      </c>
      <c r="E42" s="5">
        <v>4.9928585942629819E-3</v>
      </c>
      <c r="F42" s="3">
        <f t="shared" si="0"/>
        <v>36993.352672365363</v>
      </c>
      <c r="G42" s="5">
        <f t="shared" si="1"/>
        <v>1.9257511376054026E-3</v>
      </c>
      <c r="H42" t="s">
        <v>0</v>
      </c>
      <c r="I42" t="str" cm="1">
        <f t="array" aca="1" ref="I42" ca="1">INDEX($A$2:$A$1048576,RANDBETWEEN(1,3),1)</f>
        <v xml:space="preserve">cash </v>
      </c>
      <c r="J42" t="str" cm="1">
        <f t="array" aca="1" ref="J42" ca="1">INDEX($B$2:$B$3,IF(RAND()&gt;0.65,1,2),1)</f>
        <v>female</v>
      </c>
      <c r="K42" t="str">
        <f t="shared" ca="1" si="2"/>
        <v xml:space="preserve"> female</v>
      </c>
    </row>
    <row r="43" spans="4:14" x14ac:dyDescent="0.3">
      <c r="D43" s="3">
        <v>36993.354598116501</v>
      </c>
      <c r="E43" s="5">
        <v>5.8924072131651475E-3</v>
      </c>
      <c r="F43" s="3">
        <f t="shared" si="0"/>
        <v>36993.360490523715</v>
      </c>
      <c r="G43" s="5">
        <f t="shared" si="1"/>
        <v>1.1646432394627482E-3</v>
      </c>
      <c r="H43" t="s">
        <v>0</v>
      </c>
      <c r="I43" t="str" cm="1">
        <f t="array" aca="1" ref="I43" ca="1">INDEX($A$2:$A$1048576,RANDBETWEEN(1,3),1)</f>
        <v>currency</v>
      </c>
      <c r="J43" t="str" cm="1">
        <f t="array" aca="1" ref="J43" ca="1">INDEX($B$2:$B$3,IF(RAND()&gt;0.65,1,2),1)</f>
        <v>male</v>
      </c>
      <c r="K43" t="str">
        <f t="shared" ca="1" si="2"/>
        <v xml:space="preserve"> female</v>
      </c>
    </row>
    <row r="44" spans="4:14" x14ac:dyDescent="0.3">
      <c r="D44" s="3">
        <v>36993.361655166955</v>
      </c>
      <c r="E44" s="5">
        <v>6.0609107585160738E-3</v>
      </c>
      <c r="F44" s="3">
        <f t="shared" si="0"/>
        <v>36993.367716077715</v>
      </c>
      <c r="G44" s="5">
        <f t="shared" si="1"/>
        <v>0</v>
      </c>
      <c r="H44" t="s">
        <v>0</v>
      </c>
      <c r="I44" t="str" cm="1">
        <f t="array" aca="1" ref="I44" ca="1">INDEX($A$2:$A$1048576,RANDBETWEEN(1,3),1)</f>
        <v xml:space="preserve">cash </v>
      </c>
      <c r="J44" t="str" cm="1">
        <f t="array" aca="1" ref="J44" ca="1">INDEX($B$2:$B$3,IF(RAND()&gt;0.65,1,2),1)</f>
        <v>female</v>
      </c>
      <c r="K44" t="str">
        <f t="shared" ca="1" si="2"/>
        <v xml:space="preserve"> female</v>
      </c>
    </row>
    <row r="45" spans="4:14" x14ac:dyDescent="0.3">
      <c r="D45" s="3">
        <v>36993.367716077715</v>
      </c>
      <c r="E45" s="5">
        <v>5.3141322876528053E-3</v>
      </c>
      <c r="F45" s="3">
        <f t="shared" si="0"/>
        <v>36993.373030210001</v>
      </c>
      <c r="G45" s="5">
        <f t="shared" si="1"/>
        <v>0</v>
      </c>
      <c r="H45" t="s">
        <v>0</v>
      </c>
      <c r="I45" t="str" cm="1">
        <f t="array" aca="1" ref="I45" ca="1">INDEX($A$2:$A$1048576,RANDBETWEEN(1,3),1)</f>
        <v xml:space="preserve">cash </v>
      </c>
      <c r="J45" t="str" cm="1">
        <f t="array" aca="1" ref="J45" ca="1">INDEX($B$2:$B$3,IF(RAND()&gt;0.65,1,2),1)</f>
        <v>male</v>
      </c>
      <c r="K45" t="str">
        <f t="shared" ca="1" si="2"/>
        <v xml:space="preserve"> female</v>
      </c>
    </row>
    <row r="46" spans="4:14" x14ac:dyDescent="0.3">
      <c r="D46" s="3">
        <v>36993.373030210001</v>
      </c>
      <c r="E46" s="5">
        <v>2.8228618701269222E-3</v>
      </c>
      <c r="F46" s="3">
        <f t="shared" si="0"/>
        <v>36993.37585307187</v>
      </c>
      <c r="G46" s="5">
        <f t="shared" si="1"/>
        <v>0</v>
      </c>
      <c r="H46" t="s">
        <v>0</v>
      </c>
      <c r="I46" t="str" cm="1">
        <f t="array" aca="1" ref="I46" ca="1">INDEX($A$2:$A$1048576,RANDBETWEEN(1,3),1)</f>
        <v>currency</v>
      </c>
      <c r="J46" t="str" cm="1">
        <f t="array" aca="1" ref="J46" ca="1">INDEX($B$2:$B$3,IF(RAND()&gt;0.65,1,2),1)</f>
        <v>female</v>
      </c>
      <c r="K46" t="str">
        <f t="shared" ca="1" si="2"/>
        <v xml:space="preserve"> female</v>
      </c>
    </row>
    <row r="47" spans="4:14" x14ac:dyDescent="0.3">
      <c r="D47" s="3">
        <v>36993.37585307187</v>
      </c>
      <c r="E47" s="5">
        <v>5.6992646505125352E-3</v>
      </c>
      <c r="F47" s="3">
        <f t="shared" si="0"/>
        <v>36993.381552336519</v>
      </c>
      <c r="G47" s="5">
        <f t="shared" si="1"/>
        <v>1.9093694645562209E-3</v>
      </c>
      <c r="H47" t="s">
        <v>0</v>
      </c>
      <c r="I47" t="str" cm="1">
        <f t="array" aca="1" ref="I47" ca="1">INDEX($A$2:$A$1048576,RANDBETWEEN(1,3),1)</f>
        <v xml:space="preserve">cash </v>
      </c>
      <c r="J47" t="str" cm="1">
        <f t="array" aca="1" ref="J47" ca="1">INDEX($B$2:$B$3,IF(RAND()&gt;0.65,1,2),1)</f>
        <v>female</v>
      </c>
      <c r="K47" t="str">
        <f t="shared" ca="1" si="2"/>
        <v xml:space="preserve"> female</v>
      </c>
    </row>
    <row r="48" spans="4:14" x14ac:dyDescent="0.3">
      <c r="D48" s="3">
        <v>36993.383461705984</v>
      </c>
      <c r="E48" s="5">
        <v>5.3183484220023537E-3</v>
      </c>
      <c r="F48" s="3">
        <f t="shared" si="0"/>
        <v>36993.388780054403</v>
      </c>
      <c r="G48" s="5">
        <f t="shared" si="1"/>
        <v>2.8959030241821893E-3</v>
      </c>
      <c r="H48" t="s">
        <v>0</v>
      </c>
      <c r="I48" t="str" cm="1">
        <f t="array" aca="1" ref="I48" ca="1">INDEX($A$2:$A$1048576,RANDBETWEEN(1,3),1)</f>
        <v xml:space="preserve">cash </v>
      </c>
      <c r="J48" t="str" cm="1">
        <f t="array" aca="1" ref="J48" ca="1">INDEX($B$2:$B$3,IF(RAND()&gt;0.65,1,2),1)</f>
        <v>male</v>
      </c>
      <c r="K48" t="str">
        <f t="shared" ca="1" si="2"/>
        <v xml:space="preserve"> female</v>
      </c>
    </row>
    <row r="49" spans="4:11" x14ac:dyDescent="0.3">
      <c r="D49" s="3">
        <v>36993.391675957428</v>
      </c>
      <c r="E49" s="5">
        <v>6.0750599785881227E-3</v>
      </c>
      <c r="F49" s="3">
        <f t="shared" si="0"/>
        <v>36993.397751017408</v>
      </c>
      <c r="G49" s="5">
        <f t="shared" si="1"/>
        <v>0</v>
      </c>
      <c r="H49" t="s">
        <v>0</v>
      </c>
      <c r="I49" t="str" cm="1">
        <f t="array" aca="1" ref="I49" ca="1">INDEX($A$2:$A$1048576,RANDBETWEEN(1,3),1)</f>
        <v xml:space="preserve">cash </v>
      </c>
      <c r="J49" t="str" cm="1">
        <f t="array" aca="1" ref="J49" ca="1">INDEX($B$2:$B$3,IF(RAND()&gt;0.65,1,2),1)</f>
        <v>male</v>
      </c>
      <c r="K49" t="str">
        <f t="shared" ca="1" si="2"/>
        <v xml:space="preserve"> female</v>
      </c>
    </row>
    <row r="50" spans="4:11" x14ac:dyDescent="0.3">
      <c r="D50" s="3">
        <v>36993.397751017408</v>
      </c>
      <c r="E50" s="5">
        <v>7.0237480366979084E-3</v>
      </c>
      <c r="F50" s="3">
        <f t="shared" si="0"/>
        <v>36993.404774765448</v>
      </c>
      <c r="G50" s="5">
        <f t="shared" si="1"/>
        <v>1.3233928184490651E-3</v>
      </c>
      <c r="H50" t="s">
        <v>0</v>
      </c>
      <c r="I50" t="str" cm="1">
        <f t="array" aca="1" ref="I50" ca="1">INDEX($A$2:$A$1048576,RANDBETWEEN(1,3),1)</f>
        <v>currency</v>
      </c>
      <c r="J50" t="str" cm="1">
        <f t="array" aca="1" ref="J50" ca="1">INDEX($B$2:$B$3,IF(RAND()&gt;0.65,1,2),1)</f>
        <v>female</v>
      </c>
      <c r="K50" t="str">
        <f t="shared" ca="1" si="2"/>
        <v xml:space="preserve"> female</v>
      </c>
    </row>
    <row r="51" spans="4:11" x14ac:dyDescent="0.3">
      <c r="D51" s="3">
        <v>36993.406098158266</v>
      </c>
      <c r="E51" s="5">
        <v>4.9679402056702956E-3</v>
      </c>
      <c r="F51" s="3">
        <f t="shared" si="0"/>
        <v>36993.411066098473</v>
      </c>
      <c r="G51" s="5">
        <f t="shared" si="1"/>
        <v>2.3144093793234788E-3</v>
      </c>
      <c r="H51" t="s">
        <v>0</v>
      </c>
      <c r="I51" t="str" cm="1">
        <f t="array" aca="1" ref="I51" ca="1">INDEX($A$2:$A$1048576,RANDBETWEEN(1,3),1)</f>
        <v>account</v>
      </c>
      <c r="J51" t="str" cm="1">
        <f t="array" aca="1" ref="J51" ca="1">INDEX($B$2:$B$3,IF(RAND()&gt;0.65,1,2),1)</f>
        <v>male</v>
      </c>
      <c r="K51" t="str">
        <f t="shared" ca="1" si="2"/>
        <v xml:space="preserve"> female</v>
      </c>
    </row>
    <row r="52" spans="4:11" x14ac:dyDescent="0.3">
      <c r="D52" s="3">
        <v>36993.413380507853</v>
      </c>
      <c r="E52" s="5">
        <v>5.6602630651857713E-3</v>
      </c>
      <c r="F52" s="3">
        <f t="shared" si="0"/>
        <v>36993.419040770917</v>
      </c>
      <c r="G52" s="5">
        <f t="shared" si="1"/>
        <v>1.1422020106692798E-3</v>
      </c>
      <c r="H52" t="s">
        <v>0</v>
      </c>
      <c r="I52" t="str" cm="1">
        <f t="array" aca="1" ref="I52" ca="1">INDEX($A$2:$A$1048576,RANDBETWEEN(1,3),1)</f>
        <v>account</v>
      </c>
      <c r="J52" t="str" cm="1">
        <f t="array" aca="1" ref="J52" ca="1">INDEX($B$2:$B$3,IF(RAND()&gt;0.65,1,2),1)</f>
        <v>male</v>
      </c>
      <c r="K52" t="str">
        <f t="shared" ca="1" si="2"/>
        <v xml:space="preserve"> female</v>
      </c>
    </row>
    <row r="53" spans="4:11" x14ac:dyDescent="0.3">
      <c r="D53" s="3">
        <v>36993.420182972928</v>
      </c>
      <c r="E53" s="5">
        <v>5.0558504869656811E-3</v>
      </c>
      <c r="F53" s="3">
        <f t="shared" si="0"/>
        <v>36993.425238823416</v>
      </c>
      <c r="G53" s="5">
        <f t="shared" si="1"/>
        <v>0</v>
      </c>
      <c r="H53" t="s">
        <v>0</v>
      </c>
      <c r="I53" t="str" cm="1">
        <f t="array" aca="1" ref="I53" ca="1">INDEX($A$2:$A$1048576,RANDBETWEEN(1,3),1)</f>
        <v>account</v>
      </c>
      <c r="J53" t="str" cm="1">
        <f t="array" aca="1" ref="J53" ca="1">INDEX($B$2:$B$3,IF(RAND()&gt;0.65,1,2),1)</f>
        <v>female</v>
      </c>
      <c r="K53" t="str">
        <f t="shared" ca="1" si="2"/>
        <v>male</v>
      </c>
    </row>
    <row r="54" spans="4:11" x14ac:dyDescent="0.3">
      <c r="D54" s="3">
        <v>36993.425238823416</v>
      </c>
      <c r="E54" s="5">
        <v>6.7796905441973778E-3</v>
      </c>
      <c r="F54" s="3">
        <f t="shared" si="0"/>
        <v>36993.432018513959</v>
      </c>
      <c r="G54" s="5">
        <f t="shared" si="1"/>
        <v>0</v>
      </c>
      <c r="H54" t="s">
        <v>0</v>
      </c>
      <c r="I54" t="str" cm="1">
        <f t="array" aca="1" ref="I54" ca="1">INDEX($A$2:$A$1048576,RANDBETWEEN(1,3),1)</f>
        <v xml:space="preserve">cash </v>
      </c>
      <c r="J54" t="str" cm="1">
        <f t="array" aca="1" ref="J54" ca="1">INDEX($B$2:$B$3,IF(RAND()&gt;0.65,1,2),1)</f>
        <v>male</v>
      </c>
      <c r="K54" t="str">
        <f t="shared" ca="1" si="2"/>
        <v xml:space="preserve"> female</v>
      </c>
    </row>
    <row r="55" spans="4:11" x14ac:dyDescent="0.3">
      <c r="D55" s="3">
        <v>36993.432018513959</v>
      </c>
      <c r="E55" s="5">
        <v>2.9244150385711516E-3</v>
      </c>
      <c r="F55" s="3">
        <f t="shared" si="0"/>
        <v>36993.434942928994</v>
      </c>
      <c r="G55" s="5">
        <f t="shared" si="1"/>
        <v>0</v>
      </c>
      <c r="H55" t="s">
        <v>0</v>
      </c>
      <c r="I55" t="str" cm="1">
        <f t="array" aca="1" ref="I55" ca="1">INDEX($A$2:$A$1048576,RANDBETWEEN(1,3),1)</f>
        <v>currency</v>
      </c>
      <c r="J55" t="str" cm="1">
        <f t="array" aca="1" ref="J55" ca="1">INDEX($B$2:$B$3,IF(RAND()&gt;0.65,1,2),1)</f>
        <v>male</v>
      </c>
      <c r="K55" t="str">
        <f t="shared" ca="1" si="2"/>
        <v xml:space="preserve"> female</v>
      </c>
    </row>
    <row r="56" spans="4:11" x14ac:dyDescent="0.3">
      <c r="D56" s="3">
        <v>36993.434942928994</v>
      </c>
      <c r="E56" s="5">
        <v>6.3220596992503448E-3</v>
      </c>
      <c r="F56" s="3">
        <f t="shared" si="0"/>
        <v>36993.441264988694</v>
      </c>
      <c r="G56" s="5">
        <f t="shared" si="1"/>
        <v>0</v>
      </c>
      <c r="H56" t="s">
        <v>0</v>
      </c>
      <c r="I56" t="str" cm="1">
        <f t="array" aca="1" ref="I56" ca="1">INDEX($A$2:$A$1048576,RANDBETWEEN(1,3),1)</f>
        <v>account</v>
      </c>
      <c r="J56" t="str" cm="1">
        <f t="array" aca="1" ref="J56" ca="1">INDEX($B$2:$B$3,IF(RAND()&gt;0.65,1,2),1)</f>
        <v>female</v>
      </c>
      <c r="K56" t="str">
        <f t="shared" ca="1" si="2"/>
        <v xml:space="preserve"> female</v>
      </c>
    </row>
    <row r="57" spans="4:11" x14ac:dyDescent="0.3">
      <c r="D57" s="3">
        <v>36993.441264988694</v>
      </c>
      <c r="E57" s="5">
        <v>3.7156919635842611E-3</v>
      </c>
      <c r="F57" s="3">
        <f t="shared" si="0"/>
        <v>36993.444980680659</v>
      </c>
      <c r="G57" s="5">
        <f t="shared" si="1"/>
        <v>2.4572468755650334E-3</v>
      </c>
      <c r="H57" t="s">
        <v>0</v>
      </c>
      <c r="I57" t="str" cm="1">
        <f t="array" aca="1" ref="I57" ca="1">INDEX($A$2:$A$1048576,RANDBETWEEN(1,3),1)</f>
        <v>currency</v>
      </c>
      <c r="J57" t="str" cm="1">
        <f t="array" aca="1" ref="J57" ca="1">INDEX($B$2:$B$3,IF(RAND()&gt;0.65,1,2),1)</f>
        <v>female</v>
      </c>
      <c r="K57" t="str">
        <f t="shared" ca="1" si="2"/>
        <v xml:space="preserve"> female</v>
      </c>
    </row>
    <row r="58" spans="4:11" x14ac:dyDescent="0.3">
      <c r="D58" s="3">
        <v>36993.447437927534</v>
      </c>
      <c r="E58" s="5">
        <v>7.0276415041540738E-3</v>
      </c>
      <c r="F58" s="3">
        <f t="shared" si="0"/>
        <v>36993.454465569041</v>
      </c>
      <c r="G58" s="5">
        <v>1.1574074074074073E-5</v>
      </c>
      <c r="H58" t="s">
        <v>0</v>
      </c>
      <c r="I58" t="str" cm="1">
        <f t="array" aca="1" ref="I58" ca="1">INDEX($A$2:$A$1048576,RANDBETWEEN(1,3),1)</f>
        <v xml:space="preserve">cash </v>
      </c>
      <c r="J58" t="str" cm="1">
        <f t="array" aca="1" ref="J58" ca="1">INDEX($B$2:$B$3,IF(RAND()&gt;0.65,1,2),1)</f>
        <v>female</v>
      </c>
      <c r="K58" t="str">
        <f t="shared" ca="1" si="2"/>
        <v xml:space="preserve"> female</v>
      </c>
    </row>
  </sheetData>
  <sortState xmlns:xlrd2="http://schemas.microsoft.com/office/spreadsheetml/2017/richdata2" ref="D2:J58">
    <sortCondition ref="H2:H58"/>
    <sortCondition ref="D2:D5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22"/>
  <sheetViews>
    <sheetView zoomScale="85" zoomScaleNormal="85" workbookViewId="0">
      <selection activeCell="H18" sqref="H18"/>
    </sheetView>
  </sheetViews>
  <sheetFormatPr defaultRowHeight="14" x14ac:dyDescent="0.3"/>
  <cols>
    <col min="5" max="5" width="21" bestFit="1" customWidth="1"/>
    <col min="6" max="6" width="9.83203125" bestFit="1" customWidth="1"/>
    <col min="7" max="7" width="13.58203125" customWidth="1"/>
    <col min="8" max="8" width="10.1640625" customWidth="1"/>
    <col min="11" max="11" width="5.5" customWidth="1"/>
    <col min="12" max="14" width="10.58203125" customWidth="1"/>
  </cols>
  <sheetData>
    <row r="1" spans="1:14" x14ac:dyDescent="0.3">
      <c r="F1" t="s">
        <v>35</v>
      </c>
      <c r="L1" t="s">
        <v>36</v>
      </c>
    </row>
    <row r="2" spans="1:14" ht="14.5" thickBot="1" x14ac:dyDescent="0.35">
      <c r="F2" t="s">
        <v>32</v>
      </c>
      <c r="G2" t="s">
        <v>33</v>
      </c>
      <c r="H2" t="s">
        <v>34</v>
      </c>
      <c r="I2" t="s">
        <v>37</v>
      </c>
      <c r="L2" t="s">
        <v>32</v>
      </c>
      <c r="M2" t="s">
        <v>33</v>
      </c>
      <c r="N2" t="s">
        <v>34</v>
      </c>
    </row>
    <row r="3" spans="1:14" x14ac:dyDescent="0.3">
      <c r="A3" t="s">
        <v>22</v>
      </c>
      <c r="B3">
        <v>20</v>
      </c>
      <c r="E3" t="s">
        <v>22</v>
      </c>
      <c r="F3" s="10">
        <v>0</v>
      </c>
      <c r="G3" s="11">
        <v>0</v>
      </c>
      <c r="H3" s="12">
        <v>1</v>
      </c>
      <c r="I3" s="20">
        <f>SUM(F3:H3)</f>
        <v>1</v>
      </c>
      <c r="K3" t="s">
        <v>22</v>
      </c>
      <c r="L3" s="19">
        <v>0.74226166245422975</v>
      </c>
      <c r="M3" s="19">
        <v>0.1727060482925924</v>
      </c>
      <c r="N3" s="19">
        <v>0.51794394472737049</v>
      </c>
    </row>
    <row r="4" spans="1:14" x14ac:dyDescent="0.3">
      <c r="A4" t="s">
        <v>23</v>
      </c>
      <c r="B4">
        <v>55</v>
      </c>
      <c r="E4" t="s">
        <v>23</v>
      </c>
      <c r="F4" s="13">
        <v>0</v>
      </c>
      <c r="G4" s="14">
        <v>1</v>
      </c>
      <c r="H4" s="15">
        <v>0</v>
      </c>
      <c r="I4" s="20">
        <f t="shared" ref="I4:I12" si="0">SUM(F4:H4)</f>
        <v>1</v>
      </c>
      <c r="K4" t="s">
        <v>23</v>
      </c>
      <c r="L4" s="19">
        <v>0.30575262306474327</v>
      </c>
      <c r="M4" s="19">
        <v>0.02</v>
      </c>
      <c r="N4" s="19">
        <v>0.243500361777788</v>
      </c>
    </row>
    <row r="5" spans="1:14" x14ac:dyDescent="0.3">
      <c r="A5" t="s">
        <v>24</v>
      </c>
      <c r="B5">
        <v>35</v>
      </c>
      <c r="E5" t="s">
        <v>24</v>
      </c>
      <c r="F5" s="13">
        <v>0</v>
      </c>
      <c r="G5" s="14">
        <v>1</v>
      </c>
      <c r="H5" s="15">
        <v>0</v>
      </c>
      <c r="I5" s="20">
        <f t="shared" si="0"/>
        <v>1</v>
      </c>
      <c r="K5" t="s">
        <v>24</v>
      </c>
      <c r="L5" s="19">
        <v>0.99457466233159142</v>
      </c>
      <c r="M5" s="19">
        <v>8.7188686041774655E-2</v>
      </c>
      <c r="N5" s="19">
        <v>0.90980615815095989</v>
      </c>
    </row>
    <row r="6" spans="1:14" x14ac:dyDescent="0.3">
      <c r="A6" t="s">
        <v>25</v>
      </c>
      <c r="B6">
        <v>60</v>
      </c>
      <c r="E6" t="s">
        <v>25</v>
      </c>
      <c r="F6" s="13">
        <v>0</v>
      </c>
      <c r="G6" s="14">
        <v>1</v>
      </c>
      <c r="H6" s="15">
        <v>0</v>
      </c>
      <c r="I6" s="20">
        <f t="shared" si="0"/>
        <v>1</v>
      </c>
      <c r="K6" t="s">
        <v>25</v>
      </c>
      <c r="L6" s="19">
        <v>0.56978037008993587</v>
      </c>
      <c r="M6" s="19">
        <v>0.2</v>
      </c>
      <c r="N6" s="19">
        <v>0.17238897378591889</v>
      </c>
    </row>
    <row r="7" spans="1:14" x14ac:dyDescent="0.3">
      <c r="A7" t="s">
        <v>26</v>
      </c>
      <c r="B7">
        <v>45</v>
      </c>
      <c r="E7" t="s">
        <v>26</v>
      </c>
      <c r="F7" s="13">
        <v>0</v>
      </c>
      <c r="G7" s="14">
        <v>0</v>
      </c>
      <c r="H7" s="15">
        <v>1</v>
      </c>
      <c r="I7" s="20">
        <f t="shared" si="0"/>
        <v>1</v>
      </c>
      <c r="K7" t="s">
        <v>26</v>
      </c>
      <c r="L7" s="19">
        <v>0.7115834283464374</v>
      </c>
      <c r="M7" s="19">
        <v>0.15207586275759288</v>
      </c>
      <c r="N7" s="19">
        <v>0.3930438954921619</v>
      </c>
    </row>
    <row r="8" spans="1:14" x14ac:dyDescent="0.3">
      <c r="A8" t="s">
        <v>27</v>
      </c>
      <c r="B8">
        <v>23</v>
      </c>
      <c r="E8" t="s">
        <v>27</v>
      </c>
      <c r="F8" s="13">
        <v>1</v>
      </c>
      <c r="G8" s="14">
        <v>0</v>
      </c>
      <c r="H8" s="15">
        <v>0</v>
      </c>
      <c r="I8" s="20">
        <f t="shared" si="0"/>
        <v>1</v>
      </c>
      <c r="K8" t="s">
        <v>27</v>
      </c>
      <c r="L8" s="19">
        <v>0.2</v>
      </c>
      <c r="M8" s="19">
        <v>0.351569535430725</v>
      </c>
      <c r="N8" s="19">
        <v>0.89233217169115764</v>
      </c>
    </row>
    <row r="9" spans="1:14" x14ac:dyDescent="0.3">
      <c r="A9" t="s">
        <v>28</v>
      </c>
      <c r="B9">
        <v>121</v>
      </c>
      <c r="E9" t="s">
        <v>28</v>
      </c>
      <c r="F9" s="13">
        <v>1</v>
      </c>
      <c r="G9" s="14">
        <v>0</v>
      </c>
      <c r="H9" s="15">
        <v>0</v>
      </c>
      <c r="I9" s="20">
        <f t="shared" si="0"/>
        <v>1</v>
      </c>
      <c r="K9" t="s">
        <v>28</v>
      </c>
      <c r="L9" s="19">
        <v>0.3</v>
      </c>
      <c r="M9" s="19">
        <v>0.64112453760215071</v>
      </c>
      <c r="N9" s="19">
        <v>0.80011712124766088</v>
      </c>
    </row>
    <row r="10" spans="1:14" x14ac:dyDescent="0.3">
      <c r="A10" t="s">
        <v>29</v>
      </c>
      <c r="B10">
        <v>44</v>
      </c>
      <c r="E10" t="s">
        <v>29</v>
      </c>
      <c r="F10" s="13">
        <v>0</v>
      </c>
      <c r="G10" s="14">
        <v>0</v>
      </c>
      <c r="H10" s="15">
        <v>1</v>
      </c>
      <c r="I10" s="20">
        <f t="shared" si="0"/>
        <v>1</v>
      </c>
      <c r="K10" t="s">
        <v>29</v>
      </c>
      <c r="L10" s="19">
        <v>0.5</v>
      </c>
      <c r="M10" s="19">
        <v>0.3</v>
      </c>
      <c r="N10" s="19">
        <v>0.25281784266970819</v>
      </c>
    </row>
    <row r="11" spans="1:14" x14ac:dyDescent="0.3">
      <c r="A11" t="s">
        <v>30</v>
      </c>
      <c r="B11">
        <v>62</v>
      </c>
      <c r="E11" t="s">
        <v>30</v>
      </c>
      <c r="F11" s="13">
        <v>0</v>
      </c>
      <c r="G11" s="14">
        <v>0</v>
      </c>
      <c r="H11" s="15">
        <v>1</v>
      </c>
      <c r="I11" s="20">
        <f t="shared" si="0"/>
        <v>1</v>
      </c>
      <c r="K11" t="s">
        <v>30</v>
      </c>
      <c r="L11" s="19">
        <v>0.75877828316149121</v>
      </c>
      <c r="M11" s="19">
        <v>9.0848722213400346E-2</v>
      </c>
      <c r="N11" s="19">
        <v>5.5698531247837191E-2</v>
      </c>
    </row>
    <row r="12" spans="1:14" ht="14.5" thickBot="1" x14ac:dyDescent="0.35">
      <c r="A12" t="s">
        <v>31</v>
      </c>
      <c r="B12">
        <v>55</v>
      </c>
      <c r="E12" t="s">
        <v>31</v>
      </c>
      <c r="F12" s="16">
        <v>0</v>
      </c>
      <c r="G12" s="17">
        <v>1</v>
      </c>
      <c r="H12" s="18">
        <v>0</v>
      </c>
      <c r="I12" s="20">
        <f t="shared" si="0"/>
        <v>1</v>
      </c>
      <c r="K12" t="s">
        <v>31</v>
      </c>
      <c r="L12" s="19">
        <v>0.45843039712167821</v>
      </c>
      <c r="M12" s="19">
        <v>0.1562007058093372</v>
      </c>
      <c r="N12" s="19">
        <v>0.36668553309515284</v>
      </c>
    </row>
    <row r="13" spans="1:14" x14ac:dyDescent="0.3">
      <c r="E13" t="s">
        <v>40</v>
      </c>
      <c r="F13" s="20">
        <f>SUM(F3:F12)</f>
        <v>2</v>
      </c>
      <c r="G13" s="20">
        <f t="shared" ref="G13" si="1">SUM(G3:G12)</f>
        <v>4</v>
      </c>
      <c r="H13" s="20">
        <f>SUM(H3:H12)</f>
        <v>4</v>
      </c>
    </row>
    <row r="14" spans="1:14" x14ac:dyDescent="0.3">
      <c r="E14" t="s">
        <v>38</v>
      </c>
      <c r="F14" s="20">
        <f>SUMPRODUCT(L3:L12,F3:F12,B3:B12)</f>
        <v>40.9</v>
      </c>
      <c r="G14" s="20">
        <f>SUMPRODUCT(M3:M12,G3:G12,$B$3:$B$12)</f>
        <v>24.742642830975658</v>
      </c>
      <c r="H14" s="20">
        <f>SUMPRODUCT(N3:N12,H3:H12,$B$3:$B$12)</f>
        <v>42.623148206527759</v>
      </c>
    </row>
    <row r="16" spans="1:14" x14ac:dyDescent="0.3">
      <c r="G16" t="s">
        <v>39</v>
      </c>
      <c r="H16" s="20">
        <f>SUM(F14:H14)</f>
        <v>108.26579103750342</v>
      </c>
    </row>
    <row r="18" spans="5:12" x14ac:dyDescent="0.3">
      <c r="E18" t="s">
        <v>41</v>
      </c>
      <c r="F18" s="20">
        <v>10</v>
      </c>
      <c r="G18" s="20">
        <v>4</v>
      </c>
      <c r="H18" s="20">
        <v>10</v>
      </c>
    </row>
    <row r="22" spans="5:12" x14ac:dyDescent="0.3">
      <c r="L22" t="s">
        <v>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D18"/>
  <sheetViews>
    <sheetView tabSelected="1" workbookViewId="0">
      <selection activeCell="D15" sqref="D15"/>
    </sheetView>
  </sheetViews>
  <sheetFormatPr defaultRowHeight="14" x14ac:dyDescent="0.3"/>
  <cols>
    <col min="2" max="2" width="16.4140625" customWidth="1"/>
  </cols>
  <sheetData>
    <row r="1" spans="1:4" x14ac:dyDescent="0.3">
      <c r="A1" t="s">
        <v>13</v>
      </c>
      <c r="B1">
        <v>1</v>
      </c>
    </row>
    <row r="2" spans="1:4" x14ac:dyDescent="0.3">
      <c r="A2" t="s">
        <v>14</v>
      </c>
      <c r="B2">
        <v>2</v>
      </c>
    </row>
    <row r="3" spans="1:4" x14ac:dyDescent="0.3">
      <c r="A3" t="s">
        <v>16</v>
      </c>
      <c r="B3">
        <v>9.9999999999999995E-7</v>
      </c>
    </row>
    <row r="4" spans="1:4" x14ac:dyDescent="0.3">
      <c r="A4" t="s">
        <v>15</v>
      </c>
    </row>
    <row r="6" spans="1:4" x14ac:dyDescent="0.3">
      <c r="B6" t="str" cm="1">
        <f t="array" ref="B6">integral_chanan(2,1,2)</f>
        <v>Error: lower limit larger than upper limit</v>
      </c>
    </row>
    <row r="9" spans="1:4" x14ac:dyDescent="0.3">
      <c r="D9" t="str" cm="1">
        <f t="array" ref="D9">integral_chanan(2,1,3)</f>
        <v>Error: lower limit larger than upper limit</v>
      </c>
    </row>
    <row r="13" spans="1:4" x14ac:dyDescent="0.3">
      <c r="D13" t="str" cm="1">
        <f t="array" ref="D13">integral_chanan(2,1,6)</f>
        <v>Error: lower limit larger than upper limit</v>
      </c>
    </row>
    <row r="14" spans="1:4" x14ac:dyDescent="0.3">
      <c r="D14" cm="1">
        <f t="array" ref="D14">integral_chanan(1,2,6)</f>
        <v>0</v>
      </c>
    </row>
    <row r="15" spans="1:4" x14ac:dyDescent="0.3">
      <c r="D15" t="str" cm="1">
        <f t="array" ref="D15">integral_chanan(2,1,6)</f>
        <v>Error: lower limit larger than upper limit</v>
      </c>
    </row>
    <row r="16" spans="1:4" x14ac:dyDescent="0.3">
      <c r="D16" t="str" cm="1">
        <f t="array" ref="D16">integral_chanan(2,1,6)</f>
        <v>Error: lower limit larger than upper limit</v>
      </c>
    </row>
    <row r="17" spans="4:4" x14ac:dyDescent="0.3">
      <c r="D17" t="str" cm="1">
        <f t="array" ref="D17">integral_chanan(2,1,6)</f>
        <v>Error: lower limit larger than upper limit</v>
      </c>
    </row>
    <row r="18" spans="4:4" x14ac:dyDescent="0.3">
      <c r="D18" t="str" cm="1">
        <f t="array" ref="D18">integral_chanan(2,1,6)</f>
        <v>Error: lower limit larger than upper limit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5</vt:i4>
      </vt:variant>
    </vt:vector>
  </HeadingPairs>
  <TitlesOfParts>
    <vt:vector size="5" baseType="lpstr">
      <vt:lpstr>1 backup</vt:lpstr>
      <vt:lpstr>גיליון1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MICHAELH</dc:creator>
  <cp:lastModifiedBy>chanan jacobs</cp:lastModifiedBy>
  <dcterms:created xsi:type="dcterms:W3CDTF">2017-02-27T09:02:49Z</dcterms:created>
  <dcterms:modified xsi:type="dcterms:W3CDTF">2022-06-15T09:25:01Z</dcterms:modified>
</cp:coreProperties>
</file>