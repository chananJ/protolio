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C:\Users\chana\Desktop\יישומי מחשב למתקדמים\מבחנים\2017\2017 מועד א\"/>
    </mc:Choice>
  </mc:AlternateContent>
  <xr:revisionPtr revIDLastSave="0" documentId="13_ncr:1_{17AA92CE-5784-4619-B16E-4AA2222524DE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1" sheetId="6" r:id="rId1"/>
    <sheet name="2" sheetId="4" r:id="rId2"/>
    <sheet name="3" sheetId="5" r:id="rId3"/>
  </sheets>
  <definedNames>
    <definedName name="solver_adj" localSheetId="1" hidden="1">'2'!$N$3:$Q$7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'2'!$N$3:$Q$7</definedName>
    <definedName name="solver_lhs2" localSheetId="1" hidden="1">'2'!$P$6</definedName>
    <definedName name="solver_lhs3" localSheetId="1" hidden="1">'2'!$Q$6</definedName>
    <definedName name="solver_lhs4" localSheetId="1" hidden="1">'2'!$R$3:$R$7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'2'!$S$8</definedName>
    <definedName name="solver_pre" localSheetId="1" hidden="1">0.000001</definedName>
    <definedName name="solver_rbv" localSheetId="1" hidden="1">1</definedName>
    <definedName name="solver_rel1" localSheetId="1" hidden="1">4</definedName>
    <definedName name="solver_rel2" localSheetId="1" hidden="1">1</definedName>
    <definedName name="solver_rel3" localSheetId="1" hidden="1">3</definedName>
    <definedName name="solver_rel4" localSheetId="1" hidden="1">3</definedName>
    <definedName name="solver_rhs1" localSheetId="1" hidden="1">"integer"</definedName>
    <definedName name="solver_rhs2" localSheetId="1" hidden="1">500</definedName>
    <definedName name="solver_rhs3" localSheetId="1" hidden="1">100</definedName>
    <definedName name="solver_rhs4" localSheetId="1" hidden="1">'2'!$B$2:$B$6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4" i="4" l="1"/>
  <c r="K11" i="4"/>
  <c r="R4" i="4"/>
  <c r="R5" i="4"/>
  <c r="R6" i="4"/>
  <c r="R7" i="4"/>
  <c r="R3" i="4"/>
  <c r="N8" i="4"/>
  <c r="Q8" i="4"/>
  <c r="P8" i="4"/>
  <c r="O8" i="4"/>
  <c r="F25" i="4"/>
  <c r="J21" i="4"/>
  <c r="J22" i="4"/>
  <c r="J20" i="4"/>
  <c r="J23" i="4"/>
  <c r="J24" i="4"/>
  <c r="I25" i="4"/>
  <c r="G25" i="4"/>
  <c r="H25" i="4"/>
  <c r="F16" i="4"/>
  <c r="S8" i="4" l="1"/>
  <c r="L25" i="4"/>
  <c r="N6" i="6" l="1"/>
  <c r="N2" i="6"/>
  <c r="H2" i="6"/>
  <c r="H3" i="6"/>
  <c r="H4" i="6"/>
  <c r="H5" i="6"/>
  <c r="H6" i="6"/>
  <c r="H7" i="6"/>
  <c r="H8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9" i="6"/>
  <c r="F6" i="6"/>
  <c r="G6" i="6"/>
  <c r="F7" i="6"/>
  <c r="G7" i="6"/>
  <c r="F8" i="6"/>
  <c r="G8" i="6"/>
  <c r="F9" i="6"/>
  <c r="G9" i="6"/>
  <c r="F10" i="6"/>
  <c r="G10" i="6"/>
  <c r="F11" i="6"/>
  <c r="G11" i="6"/>
  <c r="F12" i="6"/>
  <c r="G12" i="6"/>
  <c r="F13" i="6"/>
  <c r="G13" i="6"/>
  <c r="F14" i="6"/>
  <c r="G14" i="6"/>
  <c r="F15" i="6"/>
  <c r="G15" i="6"/>
  <c r="F16" i="6"/>
  <c r="G16" i="6"/>
  <c r="F17" i="6"/>
  <c r="G17" i="6"/>
  <c r="F18" i="6"/>
  <c r="G18" i="6"/>
  <c r="F19" i="6"/>
  <c r="G19" i="6"/>
  <c r="F20" i="6"/>
  <c r="G20" i="6"/>
  <c r="F21" i="6"/>
  <c r="G21" i="6"/>
  <c r="F22" i="6"/>
  <c r="G22" i="6"/>
  <c r="F23" i="6"/>
  <c r="G23" i="6"/>
  <c r="F24" i="6"/>
  <c r="G24" i="6"/>
  <c r="F25" i="6"/>
  <c r="G25" i="6"/>
  <c r="F26" i="6"/>
  <c r="G26" i="6"/>
  <c r="F27" i="6"/>
  <c r="G27" i="6"/>
  <c r="F28" i="6"/>
  <c r="G28" i="6"/>
  <c r="F29" i="6"/>
  <c r="G29" i="6"/>
  <c r="F30" i="6"/>
  <c r="G30" i="6"/>
  <c r="F31" i="6"/>
  <c r="G31" i="6"/>
  <c r="F32" i="6"/>
  <c r="G32" i="6"/>
  <c r="F33" i="6"/>
  <c r="G33" i="6"/>
  <c r="F34" i="6"/>
  <c r="G34" i="6"/>
  <c r="F35" i="6"/>
  <c r="G35" i="6"/>
  <c r="F36" i="6"/>
  <c r="G36" i="6"/>
  <c r="F37" i="6"/>
  <c r="G37" i="6"/>
  <c r="F38" i="6"/>
  <c r="G38" i="6"/>
  <c r="F39" i="6"/>
  <c r="G39" i="6"/>
  <c r="F40" i="6"/>
  <c r="G40" i="6"/>
  <c r="F41" i="6"/>
  <c r="G41" i="6"/>
  <c r="F42" i="6"/>
  <c r="G42" i="6"/>
  <c r="F43" i="6"/>
  <c r="G43" i="6"/>
  <c r="F44" i="6"/>
  <c r="G44" i="6"/>
  <c r="F45" i="6"/>
  <c r="G45" i="6"/>
  <c r="F46" i="6"/>
  <c r="G46" i="6"/>
  <c r="F47" i="6"/>
  <c r="G47" i="6"/>
  <c r="F48" i="6"/>
  <c r="G48" i="6"/>
  <c r="F49" i="6"/>
  <c r="G49" i="6"/>
  <c r="F50" i="6"/>
  <c r="G50" i="6"/>
  <c r="F51" i="6"/>
  <c r="G51" i="6"/>
  <c r="F2" i="6"/>
  <c r="G3" i="6"/>
  <c r="N4" i="6" s="1"/>
  <c r="G4" i="6"/>
  <c r="G5" i="6"/>
  <c r="G2" i="6"/>
  <c r="N5" i="6" l="1"/>
  <c r="F3" i="6" l="1"/>
  <c r="N3" i="6" s="1"/>
  <c r="F4" i="6"/>
  <c r="F5" i="6"/>
  <c r="P24" i="6"/>
  <c r="P25" i="6"/>
  <c r="P26" i="6"/>
  <c r="P27" i="6"/>
  <c r="P28" i="6"/>
  <c r="P29" i="6"/>
  <c r="P30" i="6"/>
  <c r="P31" i="6"/>
  <c r="P32" i="6"/>
  <c r="P33" i="6"/>
  <c r="P34" i="6"/>
  <c r="P35" i="6"/>
  <c r="P23" i="6"/>
  <c r="P36" i="6" l="1"/>
</calcChain>
</file>

<file path=xl/sharedStrings.xml><?xml version="1.0" encoding="utf-8"?>
<sst xmlns="http://schemas.openxmlformats.org/spreadsheetml/2006/main" count="285" uniqueCount="83">
  <si>
    <t>machine1</t>
  </si>
  <si>
    <t>machine2</t>
  </si>
  <si>
    <t>machine3</t>
  </si>
  <si>
    <t>machine4</t>
  </si>
  <si>
    <t>total produced</t>
  </si>
  <si>
    <t>total machine working time</t>
  </si>
  <si>
    <t>max time on machine</t>
  </si>
  <si>
    <t>production time (hours)</t>
  </si>
  <si>
    <t>step 1</t>
  </si>
  <si>
    <t>step 2</t>
  </si>
  <si>
    <t>step 3</t>
  </si>
  <si>
    <t>step 4</t>
  </si>
  <si>
    <t>step 5</t>
  </si>
  <si>
    <t>max</t>
  </si>
  <si>
    <t>min</t>
  </si>
  <si>
    <t>Quals</t>
  </si>
  <si>
    <t>time on machine</t>
  </si>
  <si>
    <t>DOB</t>
  </si>
  <si>
    <t>Kyle Madruga  </t>
  </si>
  <si>
    <t>Laurence Nestle  </t>
  </si>
  <si>
    <t>Korey Brookover  </t>
  </si>
  <si>
    <t>Bradly Whitty  </t>
  </si>
  <si>
    <t>Fidel Heidel  </t>
  </si>
  <si>
    <t>Nolan Cockburn  </t>
  </si>
  <si>
    <t>Rigoberto Zweifel  </t>
  </si>
  <si>
    <t>Mac Cortese  </t>
  </si>
  <si>
    <t>Elias Lago  </t>
  </si>
  <si>
    <t>Damion Doak  </t>
  </si>
  <si>
    <t>Matthew Gapinski  </t>
  </si>
  <si>
    <t>Winston Baney  </t>
  </si>
  <si>
    <t>Carson Balas  </t>
  </si>
  <si>
    <t>Jefferson Quaid  </t>
  </si>
  <si>
    <t>Valentine Schneiderman  </t>
  </si>
  <si>
    <t>Enoch Cavazos  </t>
  </si>
  <si>
    <t>Daryl Triana  </t>
  </si>
  <si>
    <t>Wendell Younger  </t>
  </si>
  <si>
    <t>Denny Maxton  </t>
  </si>
  <si>
    <t>Shelton Cornman  </t>
  </si>
  <si>
    <t>male</t>
  </si>
  <si>
    <t>Anisha Whittaker</t>
  </si>
  <si>
    <t>Lashonda Larocque</t>
  </si>
  <si>
    <t>Dorie Prince</t>
  </si>
  <si>
    <t>Vada Mushrush</t>
  </si>
  <si>
    <t>Danille Bruckner</t>
  </si>
  <si>
    <t>Alfredia Harkness</t>
  </si>
  <si>
    <t>Sherril Redmon</t>
  </si>
  <si>
    <t>Karmen Pullman</t>
  </si>
  <si>
    <t>Patrice Stokely</t>
  </si>
  <si>
    <t>Thalia Canale</t>
  </si>
  <si>
    <t>Tamiko Pines</t>
  </si>
  <si>
    <t>Oda Saidi</t>
  </si>
  <si>
    <t>Delsie Brackins</t>
  </si>
  <si>
    <t>Johanna Ruelas</t>
  </si>
  <si>
    <t>Maybelle Duchene</t>
  </si>
  <si>
    <t>Idell Baskin</t>
  </si>
  <si>
    <t>Dannielle Messner</t>
  </si>
  <si>
    <t>Candice Tant</t>
  </si>
  <si>
    <t>Sherilyn Carignan</t>
  </si>
  <si>
    <t>Glendora Machen</t>
  </si>
  <si>
    <t>Shawnta Snapp</t>
  </si>
  <si>
    <t>Caridad Derryberry</t>
  </si>
  <si>
    <t>Lourie Pazos</t>
  </si>
  <si>
    <t>Larita Nickles</t>
  </si>
  <si>
    <t>Asha Corle</t>
  </si>
  <si>
    <t>Eustolia Paula</t>
  </si>
  <si>
    <t>Cindie Chadd</t>
  </si>
  <si>
    <t>Machelle Widner</t>
  </si>
  <si>
    <t>Astrid Heide</t>
  </si>
  <si>
    <t>Judi Lessman</t>
  </si>
  <si>
    <t>female</t>
  </si>
  <si>
    <t>name</t>
  </si>
  <si>
    <t>surname</t>
  </si>
  <si>
    <t>gender</t>
  </si>
  <si>
    <t>ID</t>
  </si>
  <si>
    <t>patient</t>
  </si>
  <si>
    <t>age</t>
  </si>
  <si>
    <t>question</t>
  </si>
  <si>
    <t>points</t>
  </si>
  <si>
    <t>grade</t>
  </si>
  <si>
    <t>final grade</t>
  </si>
  <si>
    <t>למילוי על ידי המשרד</t>
  </si>
  <si>
    <t>hi mosh</t>
  </si>
  <si>
    <t>no soup for you sir!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</si>
</sst>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8"/>
      <color rgb="FF202124"/>
      <name val="Arial"/>
      <family val="2"/>
      <scheme val="minor"/>
    </font>
    <font>
      <b/>
      <u/>
      <sz val="11"/>
      <color theme="1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11" fontId="0" fillId="0" borderId="1" xfId="0" applyNumberFormat="1" applyBorder="1"/>
    <xf numFmtId="11" fontId="0" fillId="0" borderId="2" xfId="0" applyNumberFormat="1" applyBorder="1"/>
    <xf numFmtId="11" fontId="0" fillId="0" borderId="3" xfId="0" applyNumberFormat="1" applyBorder="1"/>
    <xf numFmtId="11" fontId="0" fillId="0" borderId="4" xfId="0" applyNumberFormat="1" applyBorder="1"/>
    <xf numFmtId="11" fontId="0" fillId="0" borderId="0" xfId="0" applyNumberFormat="1" applyBorder="1"/>
    <xf numFmtId="11" fontId="0" fillId="0" borderId="5" xfId="0" applyNumberFormat="1" applyBorder="1"/>
    <xf numFmtId="11" fontId="0" fillId="0" borderId="0" xfId="0" applyNumberFormat="1" applyFill="1" applyBorder="1"/>
    <xf numFmtId="11" fontId="0" fillId="0" borderId="6" xfId="0" applyNumberFormat="1" applyBorder="1"/>
    <xf numFmtId="11" fontId="0" fillId="0" borderId="7" xfId="0" applyNumberFormat="1" applyBorder="1"/>
    <xf numFmtId="11" fontId="0" fillId="0" borderId="8" xfId="0" applyNumberFormat="1" applyBorder="1"/>
    <xf numFmtId="0" fontId="1" fillId="0" borderId="0" xfId="0" applyFont="1"/>
    <xf numFmtId="0" fontId="1" fillId="2" borderId="0" xfId="0" applyFont="1" applyFill="1"/>
    <xf numFmtId="0" fontId="0" fillId="3" borderId="0" xfId="0" applyFill="1"/>
    <xf numFmtId="14" fontId="0" fillId="0" borderId="0" xfId="0" applyNumberFormat="1"/>
    <xf numFmtId="0" fontId="0" fillId="0" borderId="0" xfId="0" applyNumberFormat="1"/>
    <xf numFmtId="14" fontId="1" fillId="0" borderId="0" xfId="0" applyNumberFormat="1" applyFont="1"/>
    <xf numFmtId="0" fontId="0" fillId="0" borderId="9" xfId="0" applyBorder="1"/>
    <xf numFmtId="2" fontId="0" fillId="0" borderId="0" xfId="0" applyNumberFormat="1"/>
    <xf numFmtId="2" fontId="1" fillId="0" borderId="0" xfId="0" applyNumberFormat="1" applyFont="1"/>
    <xf numFmtId="0" fontId="2" fillId="0" borderId="0" xfId="0" applyFont="1"/>
    <xf numFmtId="1" fontId="0" fillId="0" borderId="0" xfId="0" applyNumberFormat="1"/>
    <xf numFmtId="0" fontId="1" fillId="0" borderId="9" xfId="0" applyFont="1" applyBorder="1"/>
    <xf numFmtId="14" fontId="1" fillId="0" borderId="9" xfId="0" applyNumberFormat="1" applyFont="1" applyBorder="1"/>
    <xf numFmtId="14" fontId="0" fillId="0" borderId="9" xfId="0" applyNumberFormat="1" applyBorder="1"/>
    <xf numFmtId="1" fontId="0" fillId="0" borderId="9" xfId="0" applyNumberFormat="1" applyBorder="1"/>
    <xf numFmtId="0" fontId="3" fillId="4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P51"/>
  <sheetViews>
    <sheetView topLeftCell="D1" workbookViewId="0">
      <selection activeCell="N9" sqref="N9"/>
    </sheetView>
  </sheetViews>
  <sheetFormatPr defaultRowHeight="14" x14ac:dyDescent="0.3"/>
  <cols>
    <col min="1" max="1" width="10.9140625" bestFit="1" customWidth="1"/>
    <col min="2" max="2" width="18.9140625" bestFit="1" customWidth="1"/>
    <col min="4" max="4" width="9.9140625" bestFit="1" customWidth="1"/>
    <col min="5" max="5" width="21.58203125" bestFit="1" customWidth="1"/>
    <col min="6" max="6" width="13.08203125" style="28" customWidth="1"/>
    <col min="7" max="8" width="13.08203125" customWidth="1"/>
    <col min="9" max="9" width="14.33203125" customWidth="1"/>
    <col min="10" max="11" width="9.9140625" customWidth="1"/>
    <col min="12" max="12" width="9.9140625" bestFit="1" customWidth="1"/>
    <col min="14" max="14" width="9.9140625" bestFit="1" customWidth="1"/>
  </cols>
  <sheetData>
    <row r="1" spans="1:14" x14ac:dyDescent="0.3">
      <c r="A1" t="s">
        <v>81</v>
      </c>
      <c r="B1" s="24" t="s">
        <v>81</v>
      </c>
      <c r="D1" s="26" t="s">
        <v>17</v>
      </c>
      <c r="E1" s="21" t="s">
        <v>74</v>
      </c>
      <c r="F1" s="29" t="s">
        <v>70</v>
      </c>
      <c r="G1" s="21" t="s">
        <v>71</v>
      </c>
      <c r="H1" s="21" t="s">
        <v>75</v>
      </c>
      <c r="I1" s="21" t="s">
        <v>73</v>
      </c>
      <c r="J1" s="21" t="s">
        <v>72</v>
      </c>
      <c r="K1" s="24"/>
      <c r="L1" s="24"/>
      <c r="M1" s="32" t="s">
        <v>73</v>
      </c>
      <c r="N1" s="27">
        <v>37194</v>
      </c>
    </row>
    <row r="2" spans="1:14" x14ac:dyDescent="0.3">
      <c r="A2" t="s">
        <v>81</v>
      </c>
      <c r="B2" s="24" t="s">
        <v>81</v>
      </c>
      <c r="D2" s="24">
        <v>19854.981777692479</v>
      </c>
      <c r="E2" t="s">
        <v>42</v>
      </c>
      <c r="F2" t="str">
        <f>LEFT($E2,FIND(" ",$E2,1))</f>
        <v xml:space="preserve">Vada </v>
      </c>
      <c r="G2" t="str">
        <f>RIGHT($E2,LEN($E2)-FIND(" ",$E2,1))</f>
        <v>Mushrush</v>
      </c>
      <c r="H2" s="31">
        <f t="shared" ref="H2:H8" ca="1" si="0">(TODAY()-$D2)/365</f>
        <v>68.142515677554854</v>
      </c>
      <c r="I2" s="25">
        <v>36060</v>
      </c>
      <c r="J2" s="24" t="s">
        <v>69</v>
      </c>
      <c r="K2" s="24"/>
      <c r="M2" s="33" t="s">
        <v>17</v>
      </c>
      <c r="N2" s="34">
        <f>INDEX($D$1:$J$51,MATCH($N$1,$I$1:$I$51,0),MATCH($M2,$D$1:$J$1,0))</f>
        <v>26669.477236801002</v>
      </c>
    </row>
    <row r="3" spans="1:14" x14ac:dyDescent="0.3">
      <c r="A3" t="s">
        <v>81</v>
      </c>
      <c r="B3" t="s">
        <v>81</v>
      </c>
      <c r="D3" s="24">
        <v>22874.85625087345</v>
      </c>
      <c r="E3" t="s">
        <v>20</v>
      </c>
      <c r="F3" t="str">
        <f t="shared" ref="F3:F51" si="1">LEFT($E3,FIND(" ",$E3,1))</f>
        <v xml:space="preserve">Korey </v>
      </c>
      <c r="G3" t="str">
        <f t="shared" ref="G3:G51" si="2">RIGHT($E3,LEN($E3)-FIND(" ",$E3,1))</f>
        <v>Brookover  </v>
      </c>
      <c r="H3" s="31">
        <f t="shared" ca="1" si="0"/>
        <v>59.868886983908354</v>
      </c>
      <c r="I3" s="25">
        <v>38739</v>
      </c>
      <c r="J3" s="24" t="s">
        <v>38</v>
      </c>
      <c r="M3" s="32" t="s">
        <v>70</v>
      </c>
      <c r="N3" s="34" t="str">
        <f t="shared" ref="N3:N6" si="3">INDEX($D$1:$J$51,MATCH($N$1,$I$1:$I$51,0),MATCH($M3,$D$1:$J$1,0))</f>
        <v xml:space="preserve">Thalia </v>
      </c>
    </row>
    <row r="4" spans="1:14" x14ac:dyDescent="0.3">
      <c r="A4" t="s">
        <v>81</v>
      </c>
      <c r="B4" s="24" t="s">
        <v>81</v>
      </c>
      <c r="D4" s="24">
        <v>25116.236183547713</v>
      </c>
      <c r="E4" t="s">
        <v>58</v>
      </c>
      <c r="F4" t="str">
        <f t="shared" si="1"/>
        <v xml:space="preserve">Glendora </v>
      </c>
      <c r="G4" t="str">
        <f t="shared" si="2"/>
        <v>Machen</v>
      </c>
      <c r="H4" s="31">
        <f t="shared" ca="1" si="0"/>
        <v>53.72812004507476</v>
      </c>
      <c r="I4" s="25">
        <v>32130</v>
      </c>
      <c r="J4" s="24" t="s">
        <v>69</v>
      </c>
      <c r="M4" s="32" t="s">
        <v>71</v>
      </c>
      <c r="N4" s="34" t="str">
        <f t="shared" si="3"/>
        <v>Canale</v>
      </c>
    </row>
    <row r="5" spans="1:14" x14ac:dyDescent="0.3">
      <c r="A5" t="s">
        <v>81</v>
      </c>
      <c r="B5" t="s">
        <v>81</v>
      </c>
      <c r="D5" s="24">
        <v>23887.381525518282</v>
      </c>
      <c r="E5" t="s">
        <v>52</v>
      </c>
      <c r="F5" t="str">
        <f t="shared" si="1"/>
        <v xml:space="preserve">Johanna </v>
      </c>
      <c r="G5" t="str">
        <f t="shared" si="2"/>
        <v>Ruelas</v>
      </c>
      <c r="H5" s="31">
        <f t="shared" ca="1" si="0"/>
        <v>57.094845135566352</v>
      </c>
      <c r="I5" s="25">
        <v>34405</v>
      </c>
      <c r="J5" s="24" t="s">
        <v>69</v>
      </c>
      <c r="M5" s="32" t="s">
        <v>75</v>
      </c>
      <c r="N5" s="35">
        <f t="shared" ca="1" si="3"/>
        <v>49.472665104654787</v>
      </c>
    </row>
    <row r="6" spans="1:14" x14ac:dyDescent="0.3">
      <c r="A6" t="s">
        <v>81</v>
      </c>
      <c r="B6" t="s">
        <v>81</v>
      </c>
      <c r="D6" s="24">
        <v>21540.401485036236</v>
      </c>
      <c r="E6" t="s">
        <v>21</v>
      </c>
      <c r="F6" t="str">
        <f t="shared" si="1"/>
        <v xml:space="preserve">Bradly </v>
      </c>
      <c r="G6" t="str">
        <f t="shared" si="2"/>
        <v>Whitty  </v>
      </c>
      <c r="H6" s="31">
        <f t="shared" ca="1" si="0"/>
        <v>63.524927438256888</v>
      </c>
      <c r="I6" s="25">
        <v>37196</v>
      </c>
      <c r="J6" s="24" t="s">
        <v>38</v>
      </c>
      <c r="M6" s="32" t="s">
        <v>72</v>
      </c>
      <c r="N6" s="34" t="str">
        <f t="shared" si="3"/>
        <v>female</v>
      </c>
    </row>
    <row r="7" spans="1:14" x14ac:dyDescent="0.3">
      <c r="D7" s="24">
        <v>25173.056685261759</v>
      </c>
      <c r="E7" t="s">
        <v>63</v>
      </c>
      <c r="F7" t="str">
        <f t="shared" si="1"/>
        <v xml:space="preserve">Asha </v>
      </c>
      <c r="G7" t="str">
        <f t="shared" si="2"/>
        <v>Corle</v>
      </c>
      <c r="H7" s="31">
        <f t="shared" ca="1" si="0"/>
        <v>53.572447437639013</v>
      </c>
      <c r="I7" s="25">
        <v>37343</v>
      </c>
      <c r="J7" s="24" t="s">
        <v>69</v>
      </c>
    </row>
    <row r="8" spans="1:14" x14ac:dyDescent="0.3">
      <c r="D8" s="24">
        <v>30485.478804149057</v>
      </c>
      <c r="E8" t="s">
        <v>44</v>
      </c>
      <c r="F8" t="str">
        <f t="shared" si="1"/>
        <v xml:space="preserve">Alfredia </v>
      </c>
      <c r="G8" t="str">
        <f t="shared" si="2"/>
        <v>Harkness</v>
      </c>
      <c r="H8" s="31">
        <f t="shared" ca="1" si="0"/>
        <v>39.01786629000258</v>
      </c>
      <c r="I8" s="25">
        <v>38918</v>
      </c>
      <c r="J8" s="24" t="s">
        <v>69</v>
      </c>
    </row>
    <row r="9" spans="1:14" x14ac:dyDescent="0.3">
      <c r="D9" s="24">
        <v>22370.291624125519</v>
      </c>
      <c r="E9" t="s">
        <v>49</v>
      </c>
      <c r="F9" t="str">
        <f t="shared" si="1"/>
        <v xml:space="preserve">Tamiko </v>
      </c>
      <c r="G9" t="str">
        <f t="shared" si="2"/>
        <v>Pines</v>
      </c>
      <c r="H9" s="31">
        <f ca="1">(TODAY()-$D9)/365</f>
        <v>61.251255824313645</v>
      </c>
      <c r="I9" s="25">
        <v>36439</v>
      </c>
      <c r="J9" s="24" t="s">
        <v>69</v>
      </c>
    </row>
    <row r="10" spans="1:14" x14ac:dyDescent="0.3">
      <c r="D10" s="24">
        <v>24188.99452503895</v>
      </c>
      <c r="E10" t="s">
        <v>66</v>
      </c>
      <c r="F10" t="str">
        <f t="shared" si="1"/>
        <v xml:space="preserve">Machelle </v>
      </c>
      <c r="G10" t="str">
        <f t="shared" si="2"/>
        <v>Widner</v>
      </c>
      <c r="H10" s="31">
        <f t="shared" ref="H10:H51" ca="1" si="4">(TODAY()-$D10)/365</f>
        <v>56.268508150578221</v>
      </c>
      <c r="I10" s="25">
        <v>34528</v>
      </c>
      <c r="J10" s="24" t="s">
        <v>69</v>
      </c>
    </row>
    <row r="11" spans="1:14" x14ac:dyDescent="0.3">
      <c r="D11" s="24">
        <v>28173.815245106802</v>
      </c>
      <c r="E11" t="s">
        <v>32</v>
      </c>
      <c r="F11" t="str">
        <f t="shared" si="1"/>
        <v xml:space="preserve">Valentine </v>
      </c>
      <c r="G11" t="str">
        <f t="shared" si="2"/>
        <v>Schneiderman  </v>
      </c>
      <c r="H11" s="31">
        <f t="shared" ca="1" si="4"/>
        <v>45.351191109296437</v>
      </c>
      <c r="I11" s="25">
        <v>38926</v>
      </c>
      <c r="J11" s="24" t="s">
        <v>38</v>
      </c>
    </row>
    <row r="12" spans="1:14" x14ac:dyDescent="0.3">
      <c r="D12" s="24">
        <v>25632.733538327284</v>
      </c>
      <c r="E12" s="24" t="s">
        <v>19</v>
      </c>
      <c r="F12" t="str">
        <f t="shared" si="1"/>
        <v xml:space="preserve">Laurence </v>
      </c>
      <c r="G12" t="str">
        <f t="shared" si="2"/>
        <v>Nestle  </v>
      </c>
      <c r="H12" s="31">
        <f t="shared" ca="1" si="4"/>
        <v>52.313058799103331</v>
      </c>
      <c r="I12" s="25">
        <v>31191</v>
      </c>
      <c r="J12" s="24" t="s">
        <v>38</v>
      </c>
    </row>
    <row r="13" spans="1:14" x14ac:dyDescent="0.3">
      <c r="D13" s="24">
        <v>18642.185737030257</v>
      </c>
      <c r="E13" t="s">
        <v>26</v>
      </c>
      <c r="F13" t="str">
        <f t="shared" si="1"/>
        <v xml:space="preserve">Elias </v>
      </c>
      <c r="G13" t="str">
        <f t="shared" si="2"/>
        <v>Lago  </v>
      </c>
      <c r="H13" s="31">
        <f t="shared" ca="1" si="4"/>
        <v>71.465244556081487</v>
      </c>
      <c r="I13" s="25">
        <v>34541</v>
      </c>
      <c r="J13" s="24" t="s">
        <v>38</v>
      </c>
    </row>
    <row r="14" spans="1:14" x14ac:dyDescent="0.3">
      <c r="D14" s="24">
        <v>28347.215129929245</v>
      </c>
      <c r="E14" t="s">
        <v>67</v>
      </c>
      <c r="F14" t="str">
        <f t="shared" si="1"/>
        <v xml:space="preserve">Astrid </v>
      </c>
      <c r="G14" t="str">
        <f t="shared" si="2"/>
        <v>Heide</v>
      </c>
      <c r="H14" s="31">
        <f t="shared" ca="1" si="4"/>
        <v>44.876122931700699</v>
      </c>
      <c r="I14" s="25">
        <v>31011</v>
      </c>
      <c r="J14" s="24" t="s">
        <v>69</v>
      </c>
    </row>
    <row r="15" spans="1:14" x14ac:dyDescent="0.3">
      <c r="D15" s="24">
        <v>23804.505677693731</v>
      </c>
      <c r="E15" t="s">
        <v>53</v>
      </c>
      <c r="F15" t="str">
        <f t="shared" si="1"/>
        <v xml:space="preserve">Maybelle </v>
      </c>
      <c r="G15" t="str">
        <f t="shared" si="2"/>
        <v>Duchene</v>
      </c>
      <c r="H15" s="31">
        <f t="shared" ca="1" si="4"/>
        <v>57.321902252893885</v>
      </c>
      <c r="I15" s="25">
        <v>37126</v>
      </c>
      <c r="J15" s="24" t="s">
        <v>69</v>
      </c>
    </row>
    <row r="16" spans="1:14" x14ac:dyDescent="0.3">
      <c r="D16" s="24">
        <v>19853.769623313619</v>
      </c>
      <c r="E16" t="s">
        <v>28</v>
      </c>
      <c r="F16" t="str">
        <f t="shared" si="1"/>
        <v xml:space="preserve">Matthew </v>
      </c>
      <c r="G16" t="str">
        <f t="shared" si="2"/>
        <v>Gapinski  </v>
      </c>
      <c r="H16" s="31">
        <f t="shared" ca="1" si="4"/>
        <v>68.145836648455841</v>
      </c>
      <c r="I16" s="25">
        <v>36938</v>
      </c>
      <c r="J16" s="24" t="s">
        <v>38</v>
      </c>
    </row>
    <row r="17" spans="4:16" x14ac:dyDescent="0.3">
      <c r="D17" s="24">
        <v>25229.439496637609</v>
      </c>
      <c r="E17" t="s">
        <v>31</v>
      </c>
      <c r="F17" t="str">
        <f t="shared" si="1"/>
        <v xml:space="preserve">Jefferson </v>
      </c>
      <c r="G17" t="str">
        <f t="shared" si="2"/>
        <v>Quaid  </v>
      </c>
      <c r="H17" s="31">
        <f t="shared" ca="1" si="4"/>
        <v>53.417973981814768</v>
      </c>
      <c r="I17" s="25">
        <v>39734</v>
      </c>
      <c r="J17" s="24" t="s">
        <v>38</v>
      </c>
    </row>
    <row r="18" spans="4:16" x14ac:dyDescent="0.3">
      <c r="D18" s="24">
        <v>26092.970511624386</v>
      </c>
      <c r="E18" t="s">
        <v>65</v>
      </c>
      <c r="F18" t="str">
        <f t="shared" si="1"/>
        <v xml:space="preserve">Cindie </v>
      </c>
      <c r="G18" t="str">
        <f t="shared" si="2"/>
        <v>Chadd</v>
      </c>
      <c r="H18" s="31">
        <f t="shared" ca="1" si="4"/>
        <v>51.052135584590722</v>
      </c>
      <c r="I18" s="25">
        <v>30557</v>
      </c>
      <c r="J18" s="24" t="s">
        <v>69</v>
      </c>
    </row>
    <row r="19" spans="4:16" x14ac:dyDescent="0.3">
      <c r="D19" s="24">
        <v>26108.763793481055</v>
      </c>
      <c r="E19" t="s">
        <v>29</v>
      </c>
      <c r="F19" t="str">
        <f t="shared" si="1"/>
        <v xml:space="preserve">Winston </v>
      </c>
      <c r="G19" t="str">
        <f t="shared" si="2"/>
        <v>Baney  </v>
      </c>
      <c r="H19" s="31">
        <f t="shared" ca="1" si="4"/>
        <v>51.008866319229988</v>
      </c>
      <c r="I19" s="25">
        <v>39241</v>
      </c>
      <c r="J19" s="24" t="s">
        <v>38</v>
      </c>
    </row>
    <row r="20" spans="4:16" x14ac:dyDescent="0.3">
      <c r="D20" s="24">
        <v>26037.79503163194</v>
      </c>
      <c r="E20" t="s">
        <v>36</v>
      </c>
      <c r="F20" t="str">
        <f t="shared" si="1"/>
        <v xml:space="preserve">Denny </v>
      </c>
      <c r="G20" t="str">
        <f t="shared" si="2"/>
        <v>Maxton  </v>
      </c>
      <c r="H20" s="31">
        <f t="shared" ca="1" si="4"/>
        <v>51.203301283200162</v>
      </c>
      <c r="I20" s="25">
        <v>37835</v>
      </c>
      <c r="J20" s="24" t="s">
        <v>38</v>
      </c>
    </row>
    <row r="21" spans="4:16" x14ac:dyDescent="0.3">
      <c r="D21" s="24">
        <v>26817.049924769413</v>
      </c>
      <c r="E21" t="s">
        <v>39</v>
      </c>
      <c r="F21" t="str">
        <f t="shared" si="1"/>
        <v xml:space="preserve">Anisha </v>
      </c>
      <c r="G21" t="str">
        <f t="shared" si="2"/>
        <v>Whittaker</v>
      </c>
      <c r="H21" s="31">
        <f t="shared" ca="1" si="4"/>
        <v>49.068356370494755</v>
      </c>
      <c r="I21" s="25">
        <v>36931</v>
      </c>
      <c r="J21" s="24" t="s">
        <v>69</v>
      </c>
      <c r="P21" t="s">
        <v>80</v>
      </c>
    </row>
    <row r="22" spans="4:16" x14ac:dyDescent="0.3">
      <c r="D22" s="24">
        <v>29424.649480814027</v>
      </c>
      <c r="E22" t="s">
        <v>59</v>
      </c>
      <c r="F22" t="str">
        <f t="shared" si="1"/>
        <v xml:space="preserve">Shawnta </v>
      </c>
      <c r="G22" t="str">
        <f t="shared" si="2"/>
        <v>Snapp</v>
      </c>
      <c r="H22" s="31">
        <f t="shared" ca="1" si="4"/>
        <v>41.92424799776979</v>
      </c>
      <c r="I22" s="25">
        <v>37969</v>
      </c>
      <c r="J22" s="24" t="s">
        <v>69</v>
      </c>
      <c r="M22" s="27" t="s">
        <v>76</v>
      </c>
      <c r="N22" s="27" t="s">
        <v>77</v>
      </c>
      <c r="O22" s="27" t="s">
        <v>78</v>
      </c>
    </row>
    <row r="23" spans="4:16" x14ac:dyDescent="0.3">
      <c r="D23" s="24">
        <v>26567.038027034872</v>
      </c>
      <c r="E23" t="s">
        <v>50</v>
      </c>
      <c r="F23" t="str">
        <f t="shared" si="1"/>
        <v xml:space="preserve">Oda </v>
      </c>
      <c r="G23" t="str">
        <f t="shared" si="2"/>
        <v>Saidi</v>
      </c>
      <c r="H23" s="31">
        <f t="shared" ca="1" si="4"/>
        <v>49.753320473877061</v>
      </c>
      <c r="I23" s="25">
        <v>37499</v>
      </c>
      <c r="J23" s="24" t="s">
        <v>69</v>
      </c>
      <c r="M23" s="27">
        <v>1</v>
      </c>
      <c r="N23" s="27"/>
      <c r="O23" s="27">
        <v>7</v>
      </c>
      <c r="P23">
        <f>O23*N23</f>
        <v>0</v>
      </c>
    </row>
    <row r="24" spans="4:16" x14ac:dyDescent="0.3">
      <c r="D24" s="24">
        <v>22157.629082869906</v>
      </c>
      <c r="E24" t="s">
        <v>45</v>
      </c>
      <c r="F24" t="str">
        <f t="shared" si="1"/>
        <v xml:space="preserve">Sherril </v>
      </c>
      <c r="G24" t="str">
        <f t="shared" si="2"/>
        <v>Redmon</v>
      </c>
      <c r="H24" s="31">
        <f t="shared" ca="1" si="4"/>
        <v>61.833892923644093</v>
      </c>
      <c r="I24" s="25">
        <v>37690</v>
      </c>
      <c r="J24" s="24" t="s">
        <v>69</v>
      </c>
      <c r="M24" s="27">
        <v>2</v>
      </c>
      <c r="N24" s="27"/>
      <c r="O24" s="27">
        <v>10</v>
      </c>
      <c r="P24">
        <f t="shared" ref="P24:P35" si="5">O24*N24</f>
        <v>0</v>
      </c>
    </row>
    <row r="25" spans="4:16" x14ac:dyDescent="0.3">
      <c r="D25" s="24">
        <v>18934.695639446723</v>
      </c>
      <c r="E25" t="s">
        <v>22</v>
      </c>
      <c r="F25" t="str">
        <f t="shared" si="1"/>
        <v xml:space="preserve">Fidel </v>
      </c>
      <c r="G25" t="str">
        <f t="shared" si="2"/>
        <v>Heidel  </v>
      </c>
      <c r="H25" s="31">
        <f t="shared" ca="1" si="4"/>
        <v>70.663847563159663</v>
      </c>
      <c r="I25" s="25">
        <v>35867</v>
      </c>
      <c r="J25" s="24" t="s">
        <v>38</v>
      </c>
      <c r="M25" s="27">
        <v>3</v>
      </c>
      <c r="N25" s="27"/>
      <c r="O25" s="27">
        <v>7</v>
      </c>
      <c r="P25">
        <f t="shared" si="5"/>
        <v>0</v>
      </c>
    </row>
    <row r="26" spans="4:16" x14ac:dyDescent="0.3">
      <c r="D26" s="24">
        <v>19579.345967567882</v>
      </c>
      <c r="E26" t="s">
        <v>68</v>
      </c>
      <c r="F26" t="str">
        <f t="shared" si="1"/>
        <v xml:space="preserve">Judi </v>
      </c>
      <c r="G26" t="str">
        <f t="shared" si="2"/>
        <v>Lessman</v>
      </c>
      <c r="H26" s="31">
        <f t="shared" ca="1" si="4"/>
        <v>68.897682280635934</v>
      </c>
      <c r="I26" s="25">
        <v>39596</v>
      </c>
      <c r="J26" s="24" t="s">
        <v>69</v>
      </c>
      <c r="M26" s="27">
        <v>4</v>
      </c>
      <c r="N26" s="27"/>
      <c r="O26" s="27">
        <v>5</v>
      </c>
      <c r="P26">
        <f t="shared" si="5"/>
        <v>0</v>
      </c>
    </row>
    <row r="27" spans="4:16" x14ac:dyDescent="0.3">
      <c r="D27" s="24">
        <v>27634.182722276048</v>
      </c>
      <c r="E27" s="24" t="s">
        <v>18</v>
      </c>
      <c r="F27" t="str">
        <f t="shared" si="1"/>
        <v xml:space="preserve">Kyle </v>
      </c>
      <c r="G27" t="str">
        <f t="shared" si="2"/>
        <v>Madruga  </v>
      </c>
      <c r="H27" s="31">
        <f t="shared" ca="1" si="4"/>
        <v>46.829636377325897</v>
      </c>
      <c r="I27" s="25">
        <v>37476</v>
      </c>
      <c r="J27" s="24" t="s">
        <v>38</v>
      </c>
      <c r="M27" s="27">
        <v>5</v>
      </c>
      <c r="N27" s="27"/>
      <c r="O27" s="27">
        <v>10</v>
      </c>
      <c r="P27">
        <f t="shared" si="5"/>
        <v>0</v>
      </c>
    </row>
    <row r="28" spans="4:16" x14ac:dyDescent="0.3">
      <c r="D28" s="24">
        <v>22456.076387854053</v>
      </c>
      <c r="E28" t="s">
        <v>37</v>
      </c>
      <c r="F28" t="str">
        <f t="shared" si="1"/>
        <v xml:space="preserve">Shelton </v>
      </c>
      <c r="G28" t="str">
        <f t="shared" si="2"/>
        <v>Cornman  </v>
      </c>
      <c r="H28" s="31">
        <f t="shared" ca="1" si="4"/>
        <v>61.016229074372461</v>
      </c>
      <c r="I28" s="25">
        <v>33847</v>
      </c>
      <c r="J28" s="24" t="s">
        <v>38</v>
      </c>
      <c r="M28" s="27">
        <v>6</v>
      </c>
      <c r="N28" s="27"/>
      <c r="O28" s="27">
        <v>5</v>
      </c>
      <c r="P28">
        <f t="shared" si="5"/>
        <v>0</v>
      </c>
    </row>
    <row r="29" spans="4:16" x14ac:dyDescent="0.3">
      <c r="D29" s="24">
        <v>22141.466570760876</v>
      </c>
      <c r="E29" t="s">
        <v>43</v>
      </c>
      <c r="F29" t="str">
        <f t="shared" si="1"/>
        <v xml:space="preserve">Danille </v>
      </c>
      <c r="G29" t="str">
        <f t="shared" si="2"/>
        <v>Bruckner</v>
      </c>
      <c r="H29" s="31">
        <f t="shared" ca="1" si="4"/>
        <v>61.878173778737327</v>
      </c>
      <c r="I29" s="25">
        <v>32014</v>
      </c>
      <c r="J29" s="24" t="s">
        <v>69</v>
      </c>
      <c r="M29" s="27">
        <v>7</v>
      </c>
      <c r="N29" s="27"/>
      <c r="O29" s="27">
        <v>5</v>
      </c>
      <c r="P29">
        <f t="shared" si="5"/>
        <v>0</v>
      </c>
    </row>
    <row r="30" spans="4:16" x14ac:dyDescent="0.3">
      <c r="D30" s="24">
        <v>19034.092080549432</v>
      </c>
      <c r="E30" t="s">
        <v>54</v>
      </c>
      <c r="F30" t="str">
        <f t="shared" si="1"/>
        <v xml:space="preserve">Idell </v>
      </c>
      <c r="G30" t="str">
        <f t="shared" si="2"/>
        <v>Baskin</v>
      </c>
      <c r="H30" s="31">
        <f t="shared" ca="1" si="4"/>
        <v>70.391528546439915</v>
      </c>
      <c r="I30" s="25">
        <v>33905</v>
      </c>
      <c r="J30" s="24" t="s">
        <v>69</v>
      </c>
      <c r="M30" s="27">
        <v>8</v>
      </c>
      <c r="N30" s="27"/>
      <c r="O30" s="27">
        <v>15</v>
      </c>
      <c r="P30">
        <f t="shared" si="5"/>
        <v>0</v>
      </c>
    </row>
    <row r="31" spans="4:16" x14ac:dyDescent="0.3">
      <c r="D31" s="24">
        <v>30775.693466041372</v>
      </c>
      <c r="E31" t="s">
        <v>27</v>
      </c>
      <c r="F31" t="str">
        <f t="shared" si="1"/>
        <v xml:space="preserve">Damion </v>
      </c>
      <c r="G31" t="str">
        <f t="shared" si="2"/>
        <v>Doak  </v>
      </c>
      <c r="H31" s="31">
        <f t="shared" ca="1" si="4"/>
        <v>38.222757627283912</v>
      </c>
      <c r="I31" s="25">
        <v>34796</v>
      </c>
      <c r="J31" s="24" t="s">
        <v>38</v>
      </c>
      <c r="M31" s="27">
        <v>9</v>
      </c>
      <c r="N31" s="27"/>
      <c r="O31" s="27">
        <v>5</v>
      </c>
      <c r="P31">
        <f t="shared" si="5"/>
        <v>0</v>
      </c>
    </row>
    <row r="32" spans="4:16" x14ac:dyDescent="0.3">
      <c r="D32" s="24">
        <v>22955.100093992245</v>
      </c>
      <c r="E32" t="s">
        <v>40</v>
      </c>
      <c r="F32" t="str">
        <f t="shared" si="1"/>
        <v xml:space="preserve">Lashonda </v>
      </c>
      <c r="G32" t="str">
        <f t="shared" si="2"/>
        <v>Larocque</v>
      </c>
      <c r="H32" s="31">
        <f t="shared" ca="1" si="4"/>
        <v>59.64904083837741</v>
      </c>
      <c r="I32" s="25">
        <v>32858</v>
      </c>
      <c r="J32" s="24" t="s">
        <v>69</v>
      </c>
      <c r="M32" s="27">
        <v>10</v>
      </c>
      <c r="N32" s="27"/>
      <c r="O32" s="27">
        <v>7</v>
      </c>
      <c r="P32">
        <f t="shared" si="5"/>
        <v>0</v>
      </c>
    </row>
    <row r="33" spans="4:16" x14ac:dyDescent="0.3">
      <c r="D33" s="24">
        <v>28120.063530981537</v>
      </c>
      <c r="E33" t="s">
        <v>24</v>
      </c>
      <c r="F33" t="str">
        <f t="shared" si="1"/>
        <v xml:space="preserve">Rigoberto </v>
      </c>
      <c r="G33" t="str">
        <f t="shared" si="2"/>
        <v>Zweifel  </v>
      </c>
      <c r="H33" s="31">
        <f t="shared" ca="1" si="4"/>
        <v>45.498456079502638</v>
      </c>
      <c r="I33" s="25">
        <v>33966</v>
      </c>
      <c r="J33" s="24" t="s">
        <v>38</v>
      </c>
      <c r="M33" s="27">
        <v>11</v>
      </c>
      <c r="N33" s="27"/>
      <c r="O33" s="27">
        <v>8</v>
      </c>
      <c r="P33">
        <f t="shared" si="5"/>
        <v>0</v>
      </c>
    </row>
    <row r="34" spans="4:16" x14ac:dyDescent="0.3">
      <c r="D34" s="24">
        <v>22303.488306124753</v>
      </c>
      <c r="E34" t="s">
        <v>64</v>
      </c>
      <c r="F34" t="str">
        <f t="shared" si="1"/>
        <v xml:space="preserve">Eustolia </v>
      </c>
      <c r="G34" t="str">
        <f t="shared" si="2"/>
        <v>Paula</v>
      </c>
      <c r="H34" s="31">
        <f t="shared" ca="1" si="4"/>
        <v>61.434278613356838</v>
      </c>
      <c r="I34" s="25">
        <v>37457</v>
      </c>
      <c r="J34" s="24" t="s">
        <v>69</v>
      </c>
      <c r="M34" s="27">
        <v>12</v>
      </c>
      <c r="N34" s="27"/>
      <c r="O34" s="27">
        <v>8</v>
      </c>
      <c r="P34">
        <f t="shared" si="5"/>
        <v>0</v>
      </c>
    </row>
    <row r="35" spans="4:16" x14ac:dyDescent="0.3">
      <c r="D35" s="24">
        <v>26669.477236801002</v>
      </c>
      <c r="E35" t="s">
        <v>48</v>
      </c>
      <c r="F35" t="str">
        <f t="shared" si="1"/>
        <v xml:space="preserve">Thalia </v>
      </c>
      <c r="G35" t="str">
        <f t="shared" si="2"/>
        <v>Canale</v>
      </c>
      <c r="H35" s="31">
        <f t="shared" ca="1" si="4"/>
        <v>49.472665104654787</v>
      </c>
      <c r="I35" s="25">
        <v>37194</v>
      </c>
      <c r="J35" s="24" t="s">
        <v>69</v>
      </c>
      <c r="M35" s="27">
        <v>13</v>
      </c>
      <c r="N35" s="27"/>
      <c r="O35" s="27">
        <v>8</v>
      </c>
      <c r="P35">
        <f t="shared" si="5"/>
        <v>0</v>
      </c>
    </row>
    <row r="36" spans="4:16" x14ac:dyDescent="0.3">
      <c r="D36" s="24">
        <v>31043.024492540273</v>
      </c>
      <c r="E36" t="s">
        <v>33</v>
      </c>
      <c r="F36" t="str">
        <f t="shared" si="1"/>
        <v xml:space="preserve">Enoch </v>
      </c>
      <c r="G36" t="str">
        <f t="shared" si="2"/>
        <v>Cavazos  </v>
      </c>
      <c r="H36" s="31">
        <f t="shared" ca="1" si="4"/>
        <v>37.490343856054047</v>
      </c>
      <c r="I36" s="25">
        <v>37078</v>
      </c>
      <c r="J36" s="24" t="s">
        <v>38</v>
      </c>
      <c r="O36" t="s">
        <v>79</v>
      </c>
      <c r="P36">
        <f>SUM(P23:P35)</f>
        <v>0</v>
      </c>
    </row>
    <row r="37" spans="4:16" x14ac:dyDescent="0.3">
      <c r="D37" s="24">
        <v>27598.544428356363</v>
      </c>
      <c r="E37" t="s">
        <v>41</v>
      </c>
      <c r="F37" t="str">
        <f t="shared" si="1"/>
        <v xml:space="preserve">Dorie </v>
      </c>
      <c r="G37" t="str">
        <f t="shared" si="2"/>
        <v>Prince</v>
      </c>
      <c r="H37" s="31">
        <f t="shared" ca="1" si="4"/>
        <v>46.92727553874969</v>
      </c>
      <c r="I37" s="25">
        <v>39393</v>
      </c>
      <c r="J37" s="24" t="s">
        <v>69</v>
      </c>
    </row>
    <row r="38" spans="4:16" x14ac:dyDescent="0.3">
      <c r="D38" s="24">
        <v>20580.667659726321</v>
      </c>
      <c r="E38" t="s">
        <v>62</v>
      </c>
      <c r="F38" t="str">
        <f t="shared" si="1"/>
        <v xml:space="preserve">Larita </v>
      </c>
      <c r="G38" t="str">
        <f t="shared" si="2"/>
        <v>Nickles</v>
      </c>
      <c r="H38" s="31">
        <f t="shared" ca="1" si="4"/>
        <v>66.154335178832</v>
      </c>
      <c r="I38" s="25">
        <v>33856</v>
      </c>
      <c r="J38" s="24" t="s">
        <v>69</v>
      </c>
    </row>
    <row r="39" spans="4:16" x14ac:dyDescent="0.3">
      <c r="D39" s="24">
        <v>25994.334865891698</v>
      </c>
      <c r="E39" t="s">
        <v>56</v>
      </c>
      <c r="F39" t="str">
        <f t="shared" si="1"/>
        <v xml:space="preserve">Candice </v>
      </c>
      <c r="G39" t="str">
        <f t="shared" si="2"/>
        <v>Tant</v>
      </c>
      <c r="H39" s="31">
        <f t="shared" ca="1" si="4"/>
        <v>51.322370230433705</v>
      </c>
      <c r="I39" s="25">
        <v>39059</v>
      </c>
      <c r="J39" s="24" t="s">
        <v>69</v>
      </c>
    </row>
    <row r="40" spans="4:16" x14ac:dyDescent="0.3">
      <c r="D40" s="24">
        <v>25749.979684594211</v>
      </c>
      <c r="E40" t="s">
        <v>57</v>
      </c>
      <c r="F40" t="str">
        <f t="shared" si="1"/>
        <v xml:space="preserve">Sherilyn </v>
      </c>
      <c r="G40" t="str">
        <f t="shared" si="2"/>
        <v>Carignan</v>
      </c>
      <c r="H40" s="31">
        <f t="shared" ca="1" si="4"/>
        <v>51.991836480563805</v>
      </c>
      <c r="I40" s="25">
        <v>34401</v>
      </c>
      <c r="J40" s="24" t="s">
        <v>69</v>
      </c>
    </row>
    <row r="41" spans="4:16" x14ac:dyDescent="0.3">
      <c r="D41" s="24">
        <v>23367.521857622589</v>
      </c>
      <c r="E41" t="s">
        <v>61</v>
      </c>
      <c r="F41" t="str">
        <f t="shared" si="1"/>
        <v xml:space="preserve">Lourie </v>
      </c>
      <c r="G41" t="str">
        <f t="shared" si="2"/>
        <v>Pazos</v>
      </c>
      <c r="H41" s="31">
        <f t="shared" ca="1" si="4"/>
        <v>58.519118198294279</v>
      </c>
      <c r="I41" s="25">
        <v>31389</v>
      </c>
      <c r="J41" s="24" t="s">
        <v>69</v>
      </c>
    </row>
    <row r="42" spans="4:16" x14ac:dyDescent="0.3">
      <c r="D42" s="24">
        <v>30325.340635690653</v>
      </c>
      <c r="E42" t="s">
        <v>60</v>
      </c>
      <c r="F42" t="str">
        <f t="shared" si="1"/>
        <v xml:space="preserve">Caridad </v>
      </c>
      <c r="G42" t="str">
        <f t="shared" si="2"/>
        <v>Derryberry</v>
      </c>
      <c r="H42" s="31">
        <f t="shared" ca="1" si="4"/>
        <v>39.456600998107803</v>
      </c>
      <c r="I42" s="25">
        <v>38800</v>
      </c>
      <c r="J42" s="24" t="s">
        <v>69</v>
      </c>
    </row>
    <row r="43" spans="4:16" x14ac:dyDescent="0.3">
      <c r="D43" s="24">
        <v>31043.294866918703</v>
      </c>
      <c r="E43" t="s">
        <v>30</v>
      </c>
      <c r="F43" t="str">
        <f t="shared" si="1"/>
        <v xml:space="preserve">Carson </v>
      </c>
      <c r="G43" t="str">
        <f t="shared" si="2"/>
        <v>Balas  </v>
      </c>
      <c r="H43" s="31">
        <f t="shared" ca="1" si="4"/>
        <v>37.489603104332325</v>
      </c>
      <c r="I43" s="25">
        <v>35503</v>
      </c>
      <c r="J43" s="24" t="s">
        <v>38</v>
      </c>
    </row>
    <row r="44" spans="4:16" x14ac:dyDescent="0.3">
      <c r="D44" s="24">
        <v>30914.661611272782</v>
      </c>
      <c r="E44" t="s">
        <v>47</v>
      </c>
      <c r="F44" t="str">
        <f t="shared" si="1"/>
        <v xml:space="preserve">Patrice </v>
      </c>
      <c r="G44" t="str">
        <f t="shared" si="2"/>
        <v>Stokely</v>
      </c>
      <c r="H44" s="31">
        <f t="shared" ca="1" si="4"/>
        <v>37.842022982814292</v>
      </c>
      <c r="I44" s="25">
        <v>38804</v>
      </c>
      <c r="J44" s="24" t="s">
        <v>69</v>
      </c>
    </row>
    <row r="45" spans="4:16" x14ac:dyDescent="0.3">
      <c r="D45" s="24">
        <v>27106.905631166708</v>
      </c>
      <c r="E45" t="s">
        <v>25</v>
      </c>
      <c r="F45" t="str">
        <f t="shared" si="1"/>
        <v xml:space="preserve">Mac </v>
      </c>
      <c r="G45" t="str">
        <f t="shared" si="2"/>
        <v>Cortese  </v>
      </c>
      <c r="H45" s="31">
        <f t="shared" ca="1" si="4"/>
        <v>48.274231147488472</v>
      </c>
      <c r="I45" s="25">
        <v>37026</v>
      </c>
      <c r="J45" s="24" t="s">
        <v>38</v>
      </c>
    </row>
    <row r="46" spans="4:16" x14ac:dyDescent="0.3">
      <c r="D46" s="24">
        <v>23439.071916776251</v>
      </c>
      <c r="E46" t="s">
        <v>46</v>
      </c>
      <c r="F46" t="str">
        <f t="shared" si="1"/>
        <v xml:space="preserve">Karmen </v>
      </c>
      <c r="G46" t="str">
        <f t="shared" si="2"/>
        <v>Pullman</v>
      </c>
      <c r="H46" s="31">
        <f t="shared" ca="1" si="4"/>
        <v>58.323090638969177</v>
      </c>
      <c r="I46" s="25">
        <v>38563</v>
      </c>
      <c r="J46" s="24" t="s">
        <v>69</v>
      </c>
    </row>
    <row r="47" spans="4:16" x14ac:dyDescent="0.3">
      <c r="D47" s="24">
        <v>25289.531206025746</v>
      </c>
      <c r="E47" t="s">
        <v>34</v>
      </c>
      <c r="F47" t="str">
        <f t="shared" si="1"/>
        <v xml:space="preserve">Daryl </v>
      </c>
      <c r="G47" t="str">
        <f t="shared" si="2"/>
        <v>Triana  </v>
      </c>
      <c r="H47" s="31">
        <f t="shared" ca="1" si="4"/>
        <v>53.253339161573301</v>
      </c>
      <c r="I47" s="25">
        <v>34526</v>
      </c>
      <c r="J47" s="24" t="s">
        <v>38</v>
      </c>
    </row>
    <row r="48" spans="4:16" x14ac:dyDescent="0.3">
      <c r="D48" s="24">
        <v>24390.705412183452</v>
      </c>
      <c r="E48" t="s">
        <v>51</v>
      </c>
      <c r="F48" t="str">
        <f t="shared" si="1"/>
        <v xml:space="preserve">Delsie </v>
      </c>
      <c r="G48" t="str">
        <f t="shared" si="2"/>
        <v>Brackins</v>
      </c>
      <c r="H48" s="31">
        <f t="shared" ca="1" si="4"/>
        <v>55.715875583059038</v>
      </c>
      <c r="I48" s="25">
        <v>36236</v>
      </c>
      <c r="J48" s="24" t="s">
        <v>69</v>
      </c>
    </row>
    <row r="49" spans="4:10" x14ac:dyDescent="0.3">
      <c r="D49" s="24">
        <v>25911.605997987615</v>
      </c>
      <c r="E49" t="s">
        <v>35</v>
      </c>
      <c r="F49" t="str">
        <f t="shared" si="1"/>
        <v xml:space="preserve">Wendell </v>
      </c>
      <c r="G49" t="str">
        <f t="shared" si="2"/>
        <v>Younger  </v>
      </c>
      <c r="H49" s="31">
        <f t="shared" ca="1" si="4"/>
        <v>51.549024663047632</v>
      </c>
      <c r="I49" s="25">
        <v>31295</v>
      </c>
      <c r="J49" s="24" t="s">
        <v>38</v>
      </c>
    </row>
    <row r="50" spans="4:10" x14ac:dyDescent="0.3">
      <c r="D50" s="24">
        <v>23081.52412069308</v>
      </c>
      <c r="E50" t="s">
        <v>55</v>
      </c>
      <c r="F50" t="str">
        <f t="shared" si="1"/>
        <v xml:space="preserve">Dannielle </v>
      </c>
      <c r="G50" t="str">
        <f t="shared" si="2"/>
        <v>Messner</v>
      </c>
      <c r="H50" s="31">
        <f t="shared" ca="1" si="4"/>
        <v>59.302673641936764</v>
      </c>
      <c r="I50" s="25">
        <v>37034</v>
      </c>
      <c r="J50" s="24" t="s">
        <v>69</v>
      </c>
    </row>
    <row r="51" spans="4:10" x14ac:dyDescent="0.3">
      <c r="D51" s="24">
        <v>19865.467950059719</v>
      </c>
      <c r="E51" t="s">
        <v>23</v>
      </c>
      <c r="F51" t="str">
        <f t="shared" si="1"/>
        <v xml:space="preserve">Nolan </v>
      </c>
      <c r="G51" t="str">
        <f t="shared" si="2"/>
        <v>Cockburn  </v>
      </c>
      <c r="H51" s="31">
        <f t="shared" ca="1" si="4"/>
        <v>68.113786438192548</v>
      </c>
      <c r="I51" s="25">
        <v>30394</v>
      </c>
      <c r="J51" s="24" t="s">
        <v>38</v>
      </c>
    </row>
  </sheetData>
  <sortState xmlns:xlrd2="http://schemas.microsoft.com/office/spreadsheetml/2017/richdata2" ref="D2:J51">
    <sortCondition ref="D1"/>
  </sortState>
  <dataValidations count="1">
    <dataValidation type="list" allowBlank="1" showInputMessage="1" showErrorMessage="1" sqref="N1" xr:uid="{F5A8D88E-BEE8-44B7-A940-56A52CE9259A}">
      <formula1>$I$2:$I$51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25"/>
  <sheetViews>
    <sheetView zoomScale="85" zoomScaleNormal="85" workbookViewId="0">
      <selection activeCell="L25" sqref="L25"/>
    </sheetView>
  </sheetViews>
  <sheetFormatPr defaultRowHeight="14" x14ac:dyDescent="0.3"/>
  <cols>
    <col min="5" max="5" width="22.33203125" bestFit="1" customWidth="1"/>
    <col min="10" max="10" width="12.75" bestFit="1" customWidth="1"/>
  </cols>
  <sheetData>
    <row r="1" spans="1:19" x14ac:dyDescent="0.3">
      <c r="A1" t="s">
        <v>81</v>
      </c>
      <c r="B1" t="s">
        <v>81</v>
      </c>
      <c r="F1" s="22">
        <v>1</v>
      </c>
      <c r="N1" s="22">
        <v>4</v>
      </c>
    </row>
    <row r="2" spans="1:19" ht="14.5" thickBot="1" x14ac:dyDescent="0.35">
      <c r="A2" t="s">
        <v>81</v>
      </c>
      <c r="B2" t="s">
        <v>81</v>
      </c>
      <c r="E2" t="s">
        <v>7</v>
      </c>
      <c r="F2" t="s">
        <v>0</v>
      </c>
      <c r="G2" t="s">
        <v>1</v>
      </c>
      <c r="H2" t="s">
        <v>2</v>
      </c>
      <c r="I2" t="s">
        <v>3</v>
      </c>
      <c r="M2" t="s">
        <v>14</v>
      </c>
      <c r="N2" t="s">
        <v>0</v>
      </c>
      <c r="O2" t="s">
        <v>1</v>
      </c>
      <c r="P2" t="s">
        <v>2</v>
      </c>
      <c r="Q2" t="s">
        <v>3</v>
      </c>
    </row>
    <row r="3" spans="1:19" x14ac:dyDescent="0.3">
      <c r="A3" t="s">
        <v>81</v>
      </c>
      <c r="B3" t="s">
        <v>81</v>
      </c>
      <c r="E3" t="s">
        <v>8</v>
      </c>
      <c r="F3" s="1">
        <v>2.5</v>
      </c>
      <c r="G3" s="2">
        <v>2</v>
      </c>
      <c r="H3" s="2">
        <v>5</v>
      </c>
      <c r="I3" s="3">
        <v>3</v>
      </c>
      <c r="M3" t="s">
        <v>8</v>
      </c>
      <c r="N3" s="1">
        <v>243</v>
      </c>
      <c r="O3" s="2">
        <v>0</v>
      </c>
      <c r="P3" s="2">
        <v>7</v>
      </c>
      <c r="Q3" s="3">
        <v>0</v>
      </c>
      <c r="R3">
        <f t="shared" ref="R3:R7" si="0">SUMPRODUCT($N3:$Q3,F11:I11)</f>
        <v>250</v>
      </c>
    </row>
    <row r="4" spans="1:19" x14ac:dyDescent="0.3">
      <c r="A4" t="s">
        <v>81</v>
      </c>
      <c r="B4" t="s">
        <v>81</v>
      </c>
      <c r="E4" t="s">
        <v>9</v>
      </c>
      <c r="F4" s="4">
        <v>3.5</v>
      </c>
      <c r="G4" s="5">
        <v>5</v>
      </c>
      <c r="H4" s="5">
        <v>6.5</v>
      </c>
      <c r="I4" s="6">
        <v>4.5</v>
      </c>
      <c r="M4" t="s">
        <v>9</v>
      </c>
      <c r="N4" s="4">
        <v>268</v>
      </c>
      <c r="O4" s="5">
        <v>0</v>
      </c>
      <c r="P4" s="5">
        <v>178</v>
      </c>
      <c r="Q4" s="6">
        <v>54</v>
      </c>
      <c r="R4">
        <f t="shared" si="0"/>
        <v>500</v>
      </c>
    </row>
    <row r="5" spans="1:19" x14ac:dyDescent="0.3">
      <c r="A5" t="s">
        <v>81</v>
      </c>
      <c r="B5" t="s">
        <v>81</v>
      </c>
      <c r="E5" t="s">
        <v>10</v>
      </c>
      <c r="F5" s="4">
        <v>2.2999999999999998</v>
      </c>
      <c r="G5" s="5">
        <v>6.5</v>
      </c>
      <c r="H5" s="5">
        <v>8</v>
      </c>
      <c r="I5" s="6">
        <v>9</v>
      </c>
      <c r="M5" t="s">
        <v>10</v>
      </c>
      <c r="N5" s="4">
        <v>0</v>
      </c>
      <c r="O5" s="5">
        <v>230</v>
      </c>
      <c r="P5" s="5">
        <v>0</v>
      </c>
      <c r="Q5" s="6">
        <v>0</v>
      </c>
      <c r="R5">
        <f t="shared" si="0"/>
        <v>230</v>
      </c>
    </row>
    <row r="6" spans="1:19" x14ac:dyDescent="0.3">
      <c r="A6" t="s">
        <v>81</v>
      </c>
      <c r="B6" t="s">
        <v>81</v>
      </c>
      <c r="E6" t="s">
        <v>11</v>
      </c>
      <c r="F6" s="4">
        <v>3.3</v>
      </c>
      <c r="G6" s="10"/>
      <c r="H6" s="5">
        <v>5</v>
      </c>
      <c r="I6" s="6">
        <v>5.5</v>
      </c>
      <c r="M6" t="s">
        <v>11</v>
      </c>
      <c r="N6" s="4">
        <v>620</v>
      </c>
      <c r="O6" s="10">
        <v>0</v>
      </c>
      <c r="P6" s="5">
        <v>480</v>
      </c>
      <c r="Q6" s="6">
        <v>100</v>
      </c>
      <c r="R6">
        <f t="shared" si="0"/>
        <v>1200</v>
      </c>
    </row>
    <row r="7" spans="1:19" ht="14.5" thickBot="1" x14ac:dyDescent="0.35">
      <c r="E7" t="s">
        <v>12</v>
      </c>
      <c r="F7" s="7"/>
      <c r="G7" s="8">
        <v>5.5</v>
      </c>
      <c r="H7" s="8"/>
      <c r="I7" s="9">
        <v>6</v>
      </c>
      <c r="M7" t="s">
        <v>12</v>
      </c>
      <c r="N7" s="7">
        <v>0</v>
      </c>
      <c r="O7" s="8">
        <v>382</v>
      </c>
      <c r="P7" s="8">
        <v>0</v>
      </c>
      <c r="Q7" s="9">
        <v>468</v>
      </c>
      <c r="R7">
        <f t="shared" si="0"/>
        <v>850</v>
      </c>
    </row>
    <row r="8" spans="1:19" x14ac:dyDescent="0.3">
      <c r="N8" s="23">
        <f>SUMPRODUCT(N3:N7,F11:F15,F3:F7)</f>
        <v>3591.5</v>
      </c>
      <c r="O8" s="23">
        <f>SUMPRODUCT(O3:O7,G11:G15,G3:G7)</f>
        <v>3596</v>
      </c>
      <c r="P8" s="23">
        <f>SUMPRODUCT(P3:P7,H11:H15,H3:H7)</f>
        <v>3592</v>
      </c>
      <c r="Q8" s="23">
        <f>SUMPRODUCT(Q3:Q7,I11:I15,I3:I7)</f>
        <v>3601</v>
      </c>
      <c r="S8" s="23">
        <f>MAX(N8:Q8)</f>
        <v>3601</v>
      </c>
    </row>
    <row r="9" spans="1:19" x14ac:dyDescent="0.3">
      <c r="F9" s="22">
        <v>2</v>
      </c>
      <c r="N9" s="22">
        <v>5</v>
      </c>
    </row>
    <row r="10" spans="1:19" ht="14.5" thickBot="1" x14ac:dyDescent="0.35">
      <c r="E10" t="s">
        <v>15</v>
      </c>
      <c r="F10" t="s">
        <v>0</v>
      </c>
      <c r="G10" t="s">
        <v>1</v>
      </c>
      <c r="H10" t="s">
        <v>2</v>
      </c>
      <c r="I10" t="s">
        <v>3</v>
      </c>
      <c r="M10" t="s">
        <v>13</v>
      </c>
      <c r="N10" t="s">
        <v>0</v>
      </c>
      <c r="O10" t="s">
        <v>1</v>
      </c>
      <c r="P10" t="s">
        <v>2</v>
      </c>
      <c r="Q10" t="s">
        <v>3</v>
      </c>
    </row>
    <row r="11" spans="1:19" x14ac:dyDescent="0.3">
      <c r="E11" t="s">
        <v>8</v>
      </c>
      <c r="F11" s="1">
        <v>1</v>
      </c>
      <c r="G11" s="2"/>
      <c r="H11" s="2">
        <v>1</v>
      </c>
      <c r="I11" s="3"/>
      <c r="K11" s="28">
        <f>INT(K12)</f>
        <v>3</v>
      </c>
      <c r="M11" t="s">
        <v>8</v>
      </c>
      <c r="N11" s="11"/>
      <c r="O11" s="12"/>
      <c r="P11" s="12"/>
      <c r="Q11" s="13"/>
    </row>
    <row r="12" spans="1:19" x14ac:dyDescent="0.3">
      <c r="E12" t="s">
        <v>9</v>
      </c>
      <c r="F12" s="4">
        <v>1</v>
      </c>
      <c r="G12" s="5"/>
      <c r="H12" s="5">
        <v>1</v>
      </c>
      <c r="I12" s="6">
        <v>1</v>
      </c>
      <c r="K12" s="28">
        <v>3.7570000000000001</v>
      </c>
      <c r="M12" t="s">
        <v>9</v>
      </c>
      <c r="N12" s="14"/>
      <c r="O12" s="15"/>
      <c r="P12" s="15"/>
      <c r="Q12" s="16"/>
    </row>
    <row r="13" spans="1:19" x14ac:dyDescent="0.3">
      <c r="E13" t="s">
        <v>10</v>
      </c>
      <c r="F13" s="4"/>
      <c r="G13" s="5">
        <v>1</v>
      </c>
      <c r="H13" s="5"/>
      <c r="I13" s="6">
        <v>1</v>
      </c>
      <c r="M13" t="s">
        <v>10</v>
      </c>
      <c r="N13" s="14"/>
      <c r="O13" s="15"/>
      <c r="P13" s="15"/>
      <c r="Q13" s="16"/>
    </row>
    <row r="14" spans="1:19" x14ac:dyDescent="0.3">
      <c r="E14" t="s">
        <v>11</v>
      </c>
      <c r="F14" s="4">
        <v>1</v>
      </c>
      <c r="G14" s="5"/>
      <c r="H14" s="5">
        <v>1</v>
      </c>
      <c r="I14" s="6">
        <v>1</v>
      </c>
      <c r="K14" s="30">
        <f ca="1">NORMINV(RAND(),0,10)</f>
        <v>0.9643753821900849</v>
      </c>
      <c r="M14" t="s">
        <v>11</v>
      </c>
      <c r="N14" s="14"/>
      <c r="O14" s="17"/>
      <c r="P14" s="15"/>
      <c r="Q14" s="16"/>
    </row>
    <row r="15" spans="1:19" ht="14.5" thickBot="1" x14ac:dyDescent="0.35">
      <c r="E15" t="s">
        <v>12</v>
      </c>
      <c r="F15" s="7"/>
      <c r="G15" s="8">
        <v>1</v>
      </c>
      <c r="H15" s="8"/>
      <c r="I15" s="9">
        <v>1</v>
      </c>
      <c r="M15" t="s">
        <v>12</v>
      </c>
      <c r="N15" s="18"/>
      <c r="O15" s="19"/>
      <c r="P15" s="19"/>
      <c r="Q15" s="20"/>
    </row>
    <row r="16" spans="1:19" x14ac:dyDescent="0.3">
      <c r="E16" t="s">
        <v>5</v>
      </c>
      <c r="F16" t="e">
        <f>SUMPRODUCT(#REF!,$F8:$I8)</f>
        <v>#REF!</v>
      </c>
    </row>
    <row r="17" spans="5:12" x14ac:dyDescent="0.3">
      <c r="J17" s="10"/>
    </row>
    <row r="18" spans="5:12" x14ac:dyDescent="0.3">
      <c r="F18" s="22">
        <v>3</v>
      </c>
      <c r="J18" s="10"/>
    </row>
    <row r="19" spans="5:12" ht="14.5" thickBot="1" x14ac:dyDescent="0.35">
      <c r="F19" t="s">
        <v>0</v>
      </c>
      <c r="G19" t="s">
        <v>1</v>
      </c>
      <c r="H19" t="s">
        <v>2</v>
      </c>
      <c r="I19" t="s">
        <v>3</v>
      </c>
      <c r="J19" t="s">
        <v>4</v>
      </c>
    </row>
    <row r="20" spans="5:12" x14ac:dyDescent="0.3">
      <c r="E20" t="s">
        <v>8</v>
      </c>
      <c r="F20" s="1">
        <v>249</v>
      </c>
      <c r="G20" s="2">
        <v>0</v>
      </c>
      <c r="H20" s="2">
        <v>1</v>
      </c>
      <c r="I20" s="3">
        <v>0</v>
      </c>
      <c r="J20">
        <f>SUMPRODUCT($F11:$I11,$F20:$I20)</f>
        <v>250</v>
      </c>
    </row>
    <row r="21" spans="5:12" x14ac:dyDescent="0.3">
      <c r="E21" t="s">
        <v>9</v>
      </c>
      <c r="F21" s="4">
        <v>358</v>
      </c>
      <c r="G21" s="5">
        <v>0</v>
      </c>
      <c r="H21" s="5">
        <v>2</v>
      </c>
      <c r="I21" s="6">
        <v>140</v>
      </c>
      <c r="J21">
        <f>SUMPRODUCT($F12:$I12,$F21:$I21)</f>
        <v>500</v>
      </c>
    </row>
    <row r="22" spans="5:12" x14ac:dyDescent="0.3">
      <c r="E22" t="s">
        <v>10</v>
      </c>
      <c r="F22" s="4">
        <v>0</v>
      </c>
      <c r="G22" s="5">
        <v>227</v>
      </c>
      <c r="H22" s="5">
        <v>4610</v>
      </c>
      <c r="I22" s="6">
        <v>3</v>
      </c>
      <c r="J22">
        <f>SUMPRODUCT($F13:$I13,$F22:$I22)</f>
        <v>230</v>
      </c>
    </row>
    <row r="23" spans="5:12" x14ac:dyDescent="0.3">
      <c r="E23" t="s">
        <v>11</v>
      </c>
      <c r="F23" s="4">
        <v>499</v>
      </c>
      <c r="G23" s="5">
        <v>0</v>
      </c>
      <c r="H23" s="5">
        <v>701</v>
      </c>
      <c r="I23" s="6">
        <v>0</v>
      </c>
      <c r="J23">
        <f t="shared" ref="J23:J24" si="1">SUMPRODUCT($F14:$I14,$F23:$I23)</f>
        <v>1200</v>
      </c>
    </row>
    <row r="24" spans="5:12" ht="14.5" thickBot="1" x14ac:dyDescent="0.35">
      <c r="E24" t="s">
        <v>12</v>
      </c>
      <c r="F24" s="7">
        <v>0</v>
      </c>
      <c r="G24" s="8">
        <v>372</v>
      </c>
      <c r="H24" s="8">
        <v>0</v>
      </c>
      <c r="I24" s="9">
        <v>478</v>
      </c>
      <c r="J24">
        <f t="shared" si="1"/>
        <v>850</v>
      </c>
      <c r="L24" t="s">
        <v>6</v>
      </c>
    </row>
    <row r="25" spans="5:12" x14ac:dyDescent="0.3">
      <c r="E25" t="s">
        <v>16</v>
      </c>
      <c r="F25" s="23">
        <f>SUMPRODUCT(F20:F24,F11:F15,F3:F7)</f>
        <v>3522.2</v>
      </c>
      <c r="G25" s="23">
        <f t="shared" ref="G25:H25" si="2">SUMPRODUCT(G20:G24,G11:G15,G3:G7)</f>
        <v>3521.5</v>
      </c>
      <c r="H25" s="23">
        <f t="shared" si="2"/>
        <v>3523</v>
      </c>
      <c r="I25" s="23">
        <f>SUMPRODUCT(I20:I24,I11:I15,I3:I7)</f>
        <v>3525</v>
      </c>
      <c r="L25" s="23">
        <f>MAX(F25:I25)</f>
        <v>3525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38"/>
  <sheetViews>
    <sheetView tabSelected="1" zoomScale="55" zoomScaleNormal="55" workbookViewId="0">
      <selection activeCell="M17" sqref="M17"/>
    </sheetView>
  </sheetViews>
  <sheetFormatPr defaultRowHeight="14" x14ac:dyDescent="0.3"/>
  <cols>
    <col min="1" max="9" width="14" bestFit="1" customWidth="1"/>
    <col min="10" max="10" width="16.9140625" bestFit="1" customWidth="1"/>
    <col min="11" max="11" width="2.9140625" bestFit="1" customWidth="1"/>
    <col min="13" max="13" width="16.08203125" bestFit="1" customWidth="1"/>
  </cols>
  <sheetData>
    <row r="1" spans="1:11" x14ac:dyDescent="0.3">
      <c r="A1" s="36">
        <v>62</v>
      </c>
      <c r="B1" s="36">
        <v>65</v>
      </c>
      <c r="C1" t="s">
        <v>82</v>
      </c>
      <c r="D1" s="36">
        <v>41</v>
      </c>
      <c r="E1" t="s">
        <v>82</v>
      </c>
      <c r="F1" s="36">
        <v>54</v>
      </c>
      <c r="G1" s="36">
        <v>84</v>
      </c>
      <c r="H1" t="s">
        <v>82</v>
      </c>
      <c r="I1" s="36">
        <v>53</v>
      </c>
      <c r="J1" s="36">
        <v>69</v>
      </c>
      <c r="K1">
        <v>85</v>
      </c>
    </row>
    <row r="2" spans="1:11" x14ac:dyDescent="0.3">
      <c r="A2" t="s">
        <v>82</v>
      </c>
      <c r="B2" t="s">
        <v>82</v>
      </c>
      <c r="C2" s="36">
        <v>43</v>
      </c>
      <c r="D2" t="s">
        <v>82</v>
      </c>
      <c r="E2" s="36">
        <v>51</v>
      </c>
      <c r="F2" t="s">
        <v>82</v>
      </c>
      <c r="G2" t="s">
        <v>82</v>
      </c>
      <c r="H2" s="36">
        <v>72</v>
      </c>
      <c r="I2" t="s">
        <v>82</v>
      </c>
      <c r="J2" s="36">
        <v>49</v>
      </c>
      <c r="K2">
        <v>81</v>
      </c>
    </row>
    <row r="3" spans="1:11" x14ac:dyDescent="0.3">
      <c r="A3" t="s">
        <v>82</v>
      </c>
      <c r="B3" s="36">
        <v>76</v>
      </c>
      <c r="C3" t="s">
        <v>82</v>
      </c>
      <c r="D3" t="s">
        <v>82</v>
      </c>
      <c r="E3" s="36">
        <v>52</v>
      </c>
      <c r="F3" s="36">
        <v>58</v>
      </c>
      <c r="G3" t="s">
        <v>82</v>
      </c>
      <c r="H3" t="s">
        <v>82</v>
      </c>
      <c r="I3" s="36">
        <v>76</v>
      </c>
      <c r="J3" t="s">
        <v>82</v>
      </c>
      <c r="K3">
        <v>57</v>
      </c>
    </row>
    <row r="4" spans="1:11" x14ac:dyDescent="0.3">
      <c r="A4" s="36">
        <v>65</v>
      </c>
      <c r="B4" t="s">
        <v>82</v>
      </c>
      <c r="C4" t="s">
        <v>82</v>
      </c>
      <c r="D4" s="36">
        <v>45</v>
      </c>
      <c r="E4" t="s">
        <v>82</v>
      </c>
      <c r="F4" s="36">
        <v>57</v>
      </c>
      <c r="G4" t="s">
        <v>82</v>
      </c>
      <c r="H4" t="s">
        <v>82</v>
      </c>
      <c r="I4" s="36">
        <v>40</v>
      </c>
      <c r="J4" t="s">
        <v>82</v>
      </c>
      <c r="K4">
        <v>51</v>
      </c>
    </row>
    <row r="5" spans="1:11" x14ac:dyDescent="0.3">
      <c r="A5" s="36">
        <v>52</v>
      </c>
      <c r="B5" t="s">
        <v>82</v>
      </c>
      <c r="C5" s="36">
        <v>48</v>
      </c>
      <c r="D5" t="s">
        <v>82</v>
      </c>
      <c r="E5" t="s">
        <v>82</v>
      </c>
      <c r="F5" s="36">
        <v>69</v>
      </c>
      <c r="G5" t="s">
        <v>82</v>
      </c>
      <c r="H5" s="36">
        <v>42</v>
      </c>
      <c r="I5" s="36">
        <v>43</v>
      </c>
      <c r="J5" t="s">
        <v>82</v>
      </c>
      <c r="K5">
        <v>63</v>
      </c>
    </row>
    <row r="6" spans="1:11" x14ac:dyDescent="0.3">
      <c r="A6" s="36">
        <v>50</v>
      </c>
      <c r="B6" t="s">
        <v>82</v>
      </c>
      <c r="C6" s="36">
        <v>70</v>
      </c>
      <c r="D6" s="36">
        <v>73</v>
      </c>
      <c r="E6" t="s">
        <v>82</v>
      </c>
      <c r="F6" s="36">
        <v>70</v>
      </c>
      <c r="G6" t="s">
        <v>82</v>
      </c>
      <c r="H6" t="s">
        <v>82</v>
      </c>
      <c r="I6" s="36">
        <v>60</v>
      </c>
      <c r="J6" t="s">
        <v>82</v>
      </c>
      <c r="K6">
        <v>67</v>
      </c>
    </row>
    <row r="7" spans="1:11" x14ac:dyDescent="0.3">
      <c r="A7" t="s">
        <v>82</v>
      </c>
      <c r="B7" s="36">
        <v>68</v>
      </c>
      <c r="C7" t="s">
        <v>82</v>
      </c>
      <c r="D7" s="36">
        <v>46</v>
      </c>
      <c r="E7" s="36">
        <v>56</v>
      </c>
      <c r="F7" s="36">
        <v>58</v>
      </c>
      <c r="G7" s="36">
        <v>81</v>
      </c>
      <c r="H7" t="s">
        <v>82</v>
      </c>
      <c r="I7" t="s">
        <v>82</v>
      </c>
      <c r="J7" t="s">
        <v>82</v>
      </c>
      <c r="K7">
        <v>46</v>
      </c>
    </row>
    <row r="8" spans="1:11" x14ac:dyDescent="0.3">
      <c r="A8" s="36">
        <v>45</v>
      </c>
      <c r="B8" t="s">
        <v>82</v>
      </c>
      <c r="C8" s="36">
        <v>55</v>
      </c>
      <c r="D8" t="s">
        <v>82</v>
      </c>
      <c r="E8" s="36">
        <v>52</v>
      </c>
      <c r="F8" t="s">
        <v>82</v>
      </c>
      <c r="G8" s="36">
        <v>45</v>
      </c>
      <c r="H8" t="s">
        <v>82</v>
      </c>
      <c r="I8" t="s">
        <v>82</v>
      </c>
      <c r="J8" s="36">
        <v>49</v>
      </c>
      <c r="K8">
        <v>67</v>
      </c>
    </row>
    <row r="9" spans="1:11" x14ac:dyDescent="0.3">
      <c r="A9" t="s">
        <v>82</v>
      </c>
      <c r="B9" t="s">
        <v>82</v>
      </c>
      <c r="C9" t="s">
        <v>82</v>
      </c>
      <c r="D9" s="36">
        <v>41</v>
      </c>
      <c r="E9" t="s">
        <v>82</v>
      </c>
      <c r="F9" t="s">
        <v>82</v>
      </c>
      <c r="G9" s="36">
        <v>44</v>
      </c>
      <c r="H9" t="s">
        <v>82</v>
      </c>
      <c r="I9" t="s">
        <v>82</v>
      </c>
      <c r="J9" s="36">
        <v>45</v>
      </c>
      <c r="K9">
        <v>55</v>
      </c>
    </row>
    <row r="10" spans="1:11" x14ac:dyDescent="0.3">
      <c r="A10" s="36">
        <v>66</v>
      </c>
      <c r="B10" t="s">
        <v>82</v>
      </c>
      <c r="C10" t="s">
        <v>82</v>
      </c>
      <c r="D10" s="36">
        <v>51</v>
      </c>
      <c r="E10" t="s">
        <v>82</v>
      </c>
      <c r="F10" s="36">
        <v>42</v>
      </c>
      <c r="G10" s="36">
        <v>46</v>
      </c>
      <c r="H10" s="36">
        <v>56</v>
      </c>
      <c r="I10" t="s">
        <v>82</v>
      </c>
      <c r="J10" s="36">
        <v>51</v>
      </c>
      <c r="K10">
        <v>90</v>
      </c>
    </row>
    <row r="11" spans="1:11" x14ac:dyDescent="0.3">
      <c r="A11" t="s">
        <v>82</v>
      </c>
      <c r="B11" s="36">
        <v>64</v>
      </c>
      <c r="C11" t="s">
        <v>82</v>
      </c>
      <c r="D11" s="36">
        <v>50</v>
      </c>
      <c r="E11" t="s">
        <v>82</v>
      </c>
      <c r="F11" s="36">
        <v>48</v>
      </c>
      <c r="G11" t="s">
        <v>82</v>
      </c>
      <c r="H11" s="36">
        <v>48</v>
      </c>
      <c r="I11" t="s">
        <v>82</v>
      </c>
      <c r="J11" s="36">
        <v>46</v>
      </c>
      <c r="K11">
        <v>60</v>
      </c>
    </row>
    <row r="12" spans="1:11" x14ac:dyDescent="0.3">
      <c r="A12" s="36">
        <v>65</v>
      </c>
      <c r="B12" t="s">
        <v>82</v>
      </c>
      <c r="C12" t="s">
        <v>82</v>
      </c>
      <c r="D12" s="36">
        <v>45</v>
      </c>
      <c r="E12" t="s">
        <v>82</v>
      </c>
      <c r="F12" s="36">
        <v>57</v>
      </c>
      <c r="G12" t="s">
        <v>82</v>
      </c>
      <c r="H12" t="s">
        <v>82</v>
      </c>
      <c r="I12" s="36">
        <v>40</v>
      </c>
      <c r="J12" t="s">
        <v>82</v>
      </c>
      <c r="K12">
        <v>51</v>
      </c>
    </row>
    <row r="13" spans="1:11" x14ac:dyDescent="0.3">
      <c r="A13" s="36">
        <v>52</v>
      </c>
      <c r="B13" t="s">
        <v>82</v>
      </c>
      <c r="C13" s="36">
        <v>48</v>
      </c>
      <c r="D13" t="s">
        <v>82</v>
      </c>
      <c r="E13" t="s">
        <v>82</v>
      </c>
      <c r="F13" s="36">
        <v>69</v>
      </c>
      <c r="G13" t="s">
        <v>82</v>
      </c>
      <c r="H13" s="36">
        <v>42</v>
      </c>
      <c r="I13" s="36">
        <v>43</v>
      </c>
      <c r="J13" t="s">
        <v>82</v>
      </c>
      <c r="K13">
        <v>63</v>
      </c>
    </row>
    <row r="14" spans="1:11" x14ac:dyDescent="0.3">
      <c r="A14" s="36">
        <v>50</v>
      </c>
      <c r="B14" t="s">
        <v>82</v>
      </c>
      <c r="C14" s="36">
        <v>70</v>
      </c>
      <c r="D14" s="36">
        <v>73</v>
      </c>
      <c r="E14" t="s">
        <v>82</v>
      </c>
      <c r="F14" s="36">
        <v>70</v>
      </c>
      <c r="G14" t="s">
        <v>82</v>
      </c>
      <c r="H14" t="s">
        <v>82</v>
      </c>
      <c r="I14" s="36">
        <v>60</v>
      </c>
      <c r="J14" t="s">
        <v>82</v>
      </c>
      <c r="K14">
        <v>67</v>
      </c>
    </row>
    <row r="15" spans="1:11" x14ac:dyDescent="0.3">
      <c r="A15" t="s">
        <v>82</v>
      </c>
      <c r="B15" s="36">
        <v>68</v>
      </c>
      <c r="C15" t="s">
        <v>82</v>
      </c>
      <c r="D15" s="36">
        <v>46</v>
      </c>
      <c r="E15" s="36">
        <v>56</v>
      </c>
      <c r="F15" s="36">
        <v>58</v>
      </c>
      <c r="G15" s="36">
        <v>81</v>
      </c>
      <c r="H15" t="s">
        <v>82</v>
      </c>
      <c r="I15" t="s">
        <v>82</v>
      </c>
      <c r="J15" t="s">
        <v>82</v>
      </c>
      <c r="K15">
        <v>46</v>
      </c>
    </row>
    <row r="16" spans="1:11" x14ac:dyDescent="0.3">
      <c r="A16" s="36">
        <v>45</v>
      </c>
      <c r="B16" t="s">
        <v>82</v>
      </c>
      <c r="C16" s="36">
        <v>55</v>
      </c>
      <c r="D16" t="s">
        <v>82</v>
      </c>
      <c r="E16" s="36">
        <v>52</v>
      </c>
      <c r="F16" t="s">
        <v>82</v>
      </c>
      <c r="G16" s="36">
        <v>45</v>
      </c>
      <c r="H16" t="s">
        <v>82</v>
      </c>
      <c r="I16" t="s">
        <v>82</v>
      </c>
      <c r="J16" s="36">
        <v>49</v>
      </c>
      <c r="K16">
        <v>67</v>
      </c>
    </row>
    <row r="17" spans="1:11" x14ac:dyDescent="0.3">
      <c r="A17" t="s">
        <v>82</v>
      </c>
      <c r="B17" t="s">
        <v>82</v>
      </c>
      <c r="C17" t="s">
        <v>82</v>
      </c>
      <c r="D17" s="36">
        <v>41</v>
      </c>
      <c r="E17" t="s">
        <v>82</v>
      </c>
      <c r="F17" t="s">
        <v>82</v>
      </c>
      <c r="G17" s="36">
        <v>44</v>
      </c>
      <c r="H17" t="s">
        <v>82</v>
      </c>
      <c r="I17" t="s">
        <v>82</v>
      </c>
      <c r="J17" s="36">
        <v>45</v>
      </c>
      <c r="K17">
        <v>55</v>
      </c>
    </row>
    <row r="22" spans="1:11" x14ac:dyDescent="0.3">
      <c r="A22">
        <v>62</v>
      </c>
      <c r="B22">
        <v>65</v>
      </c>
      <c r="C22">
        <v>72</v>
      </c>
      <c r="D22">
        <v>41</v>
      </c>
      <c r="E22">
        <v>76</v>
      </c>
      <c r="F22">
        <v>54</v>
      </c>
      <c r="G22">
        <v>84</v>
      </c>
      <c r="H22">
        <v>87</v>
      </c>
      <c r="I22">
        <v>53</v>
      </c>
      <c r="J22">
        <v>69</v>
      </c>
      <c r="K22">
        <v>85</v>
      </c>
    </row>
    <row r="23" spans="1:11" x14ac:dyDescent="0.3">
      <c r="A23">
        <v>68</v>
      </c>
      <c r="B23">
        <v>46</v>
      </c>
      <c r="C23">
        <v>43</v>
      </c>
      <c r="D23">
        <v>54</v>
      </c>
      <c r="E23">
        <v>51</v>
      </c>
      <c r="F23">
        <v>88</v>
      </c>
      <c r="G23">
        <v>86</v>
      </c>
      <c r="H23">
        <v>72</v>
      </c>
      <c r="I23">
        <v>79</v>
      </c>
      <c r="J23">
        <v>49</v>
      </c>
      <c r="K23">
        <v>81</v>
      </c>
    </row>
    <row r="24" spans="1:11" x14ac:dyDescent="0.3">
      <c r="A24">
        <v>86</v>
      </c>
      <c r="B24">
        <v>76</v>
      </c>
      <c r="C24">
        <v>84</v>
      </c>
      <c r="D24">
        <v>62</v>
      </c>
      <c r="E24">
        <v>52</v>
      </c>
      <c r="F24">
        <v>58</v>
      </c>
      <c r="G24">
        <v>86</v>
      </c>
      <c r="H24">
        <v>82</v>
      </c>
      <c r="I24">
        <v>76</v>
      </c>
      <c r="J24">
        <v>89</v>
      </c>
      <c r="K24">
        <v>57</v>
      </c>
    </row>
    <row r="25" spans="1:11" x14ac:dyDescent="0.3">
      <c r="A25">
        <v>65</v>
      </c>
      <c r="B25">
        <v>72</v>
      </c>
      <c r="C25">
        <v>48</v>
      </c>
      <c r="D25">
        <v>45</v>
      </c>
      <c r="E25">
        <v>88</v>
      </c>
      <c r="F25">
        <v>57</v>
      </c>
      <c r="G25">
        <v>87</v>
      </c>
      <c r="H25">
        <v>86</v>
      </c>
      <c r="I25">
        <v>40</v>
      </c>
      <c r="J25">
        <v>76</v>
      </c>
      <c r="K25">
        <v>51</v>
      </c>
    </row>
    <row r="26" spans="1:11" x14ac:dyDescent="0.3">
      <c r="A26">
        <v>52</v>
      </c>
      <c r="B26">
        <v>83</v>
      </c>
      <c r="C26">
        <v>48</v>
      </c>
      <c r="D26">
        <v>83</v>
      </c>
      <c r="E26">
        <v>79</v>
      </c>
      <c r="F26">
        <v>69</v>
      </c>
      <c r="G26">
        <v>87</v>
      </c>
      <c r="H26">
        <v>42</v>
      </c>
      <c r="I26">
        <v>43</v>
      </c>
      <c r="J26">
        <v>74</v>
      </c>
      <c r="K26">
        <v>63</v>
      </c>
    </row>
    <row r="27" spans="1:11" x14ac:dyDescent="0.3">
      <c r="A27">
        <v>50</v>
      </c>
      <c r="B27">
        <v>79</v>
      </c>
      <c r="C27">
        <v>70</v>
      </c>
      <c r="D27">
        <v>73</v>
      </c>
      <c r="E27">
        <v>86</v>
      </c>
      <c r="F27">
        <v>70</v>
      </c>
      <c r="G27">
        <v>80</v>
      </c>
      <c r="H27">
        <v>71</v>
      </c>
      <c r="I27">
        <v>60</v>
      </c>
      <c r="J27">
        <v>77</v>
      </c>
      <c r="K27">
        <v>67</v>
      </c>
    </row>
    <row r="28" spans="1:11" x14ac:dyDescent="0.3">
      <c r="A28">
        <v>79</v>
      </c>
      <c r="B28">
        <v>68</v>
      </c>
      <c r="C28">
        <v>85</v>
      </c>
      <c r="D28">
        <v>46</v>
      </c>
      <c r="E28">
        <v>56</v>
      </c>
      <c r="F28">
        <v>58</v>
      </c>
      <c r="G28">
        <v>81</v>
      </c>
      <c r="H28">
        <v>85</v>
      </c>
      <c r="I28">
        <v>84</v>
      </c>
      <c r="J28">
        <v>69</v>
      </c>
      <c r="K28">
        <v>46</v>
      </c>
    </row>
    <row r="29" spans="1:11" x14ac:dyDescent="0.3">
      <c r="A29">
        <v>45</v>
      </c>
      <c r="B29">
        <v>58</v>
      </c>
      <c r="C29">
        <v>55</v>
      </c>
      <c r="D29">
        <v>71</v>
      </c>
      <c r="E29">
        <v>52</v>
      </c>
      <c r="F29">
        <v>86</v>
      </c>
      <c r="G29">
        <v>45</v>
      </c>
      <c r="H29">
        <v>69</v>
      </c>
      <c r="I29">
        <v>56</v>
      </c>
      <c r="J29">
        <v>49</v>
      </c>
      <c r="K29">
        <v>67</v>
      </c>
    </row>
    <row r="30" spans="1:11" x14ac:dyDescent="0.3">
      <c r="A30">
        <v>66</v>
      </c>
      <c r="B30">
        <v>58</v>
      </c>
      <c r="C30">
        <v>41</v>
      </c>
      <c r="D30">
        <v>41</v>
      </c>
      <c r="E30">
        <v>64</v>
      </c>
      <c r="F30">
        <v>58</v>
      </c>
      <c r="G30">
        <v>44</v>
      </c>
      <c r="H30">
        <v>79</v>
      </c>
      <c r="I30">
        <v>76</v>
      </c>
      <c r="J30">
        <v>45</v>
      </c>
      <c r="K30">
        <v>55</v>
      </c>
    </row>
    <row r="31" spans="1:11" x14ac:dyDescent="0.3">
      <c r="A31">
        <v>66</v>
      </c>
      <c r="B31">
        <v>80</v>
      </c>
      <c r="C31">
        <v>63</v>
      </c>
      <c r="D31">
        <v>51</v>
      </c>
      <c r="E31">
        <v>62</v>
      </c>
      <c r="F31">
        <v>42</v>
      </c>
      <c r="G31">
        <v>46</v>
      </c>
      <c r="H31">
        <v>56</v>
      </c>
      <c r="I31">
        <v>78</v>
      </c>
      <c r="J31">
        <v>51</v>
      </c>
      <c r="K31">
        <v>90</v>
      </c>
    </row>
    <row r="32" spans="1:11" x14ac:dyDescent="0.3">
      <c r="A32">
        <v>65</v>
      </c>
      <c r="B32">
        <v>64</v>
      </c>
      <c r="C32">
        <v>89</v>
      </c>
      <c r="D32">
        <v>50</v>
      </c>
      <c r="E32">
        <v>66</v>
      </c>
      <c r="F32">
        <v>48</v>
      </c>
      <c r="G32">
        <v>53</v>
      </c>
      <c r="H32">
        <v>48</v>
      </c>
      <c r="I32">
        <v>58</v>
      </c>
      <c r="J32">
        <v>46</v>
      </c>
      <c r="K32">
        <v>60</v>
      </c>
    </row>
    <row r="33" spans="1:11" x14ac:dyDescent="0.3">
      <c r="A33">
        <v>65</v>
      </c>
      <c r="B33">
        <v>72</v>
      </c>
      <c r="C33">
        <v>48</v>
      </c>
      <c r="D33">
        <v>45</v>
      </c>
      <c r="E33">
        <v>88</v>
      </c>
      <c r="F33">
        <v>57</v>
      </c>
      <c r="G33">
        <v>87</v>
      </c>
      <c r="H33">
        <v>86</v>
      </c>
      <c r="I33">
        <v>40</v>
      </c>
      <c r="J33">
        <v>76</v>
      </c>
      <c r="K33">
        <v>51</v>
      </c>
    </row>
    <row r="34" spans="1:11" x14ac:dyDescent="0.3">
      <c r="A34">
        <v>52</v>
      </c>
      <c r="B34">
        <v>83</v>
      </c>
      <c r="C34">
        <v>48</v>
      </c>
      <c r="D34">
        <v>83</v>
      </c>
      <c r="E34">
        <v>79</v>
      </c>
      <c r="F34">
        <v>69</v>
      </c>
      <c r="G34">
        <v>87</v>
      </c>
      <c r="H34">
        <v>42</v>
      </c>
      <c r="I34">
        <v>43</v>
      </c>
      <c r="J34">
        <v>74</v>
      </c>
      <c r="K34">
        <v>63</v>
      </c>
    </row>
    <row r="35" spans="1:11" x14ac:dyDescent="0.3">
      <c r="A35">
        <v>50</v>
      </c>
      <c r="B35">
        <v>79</v>
      </c>
      <c r="C35">
        <v>70</v>
      </c>
      <c r="D35">
        <v>73</v>
      </c>
      <c r="E35">
        <v>86</v>
      </c>
      <c r="F35">
        <v>70</v>
      </c>
      <c r="G35">
        <v>80</v>
      </c>
      <c r="H35">
        <v>71</v>
      </c>
      <c r="I35">
        <v>60</v>
      </c>
      <c r="J35">
        <v>77</v>
      </c>
      <c r="K35">
        <v>67</v>
      </c>
    </row>
    <row r="36" spans="1:11" x14ac:dyDescent="0.3">
      <c r="A36">
        <v>79</v>
      </c>
      <c r="B36">
        <v>68</v>
      </c>
      <c r="C36">
        <v>85</v>
      </c>
      <c r="D36">
        <v>46</v>
      </c>
      <c r="E36">
        <v>56</v>
      </c>
      <c r="F36">
        <v>58</v>
      </c>
      <c r="G36">
        <v>81</v>
      </c>
      <c r="H36">
        <v>85</v>
      </c>
      <c r="I36">
        <v>84</v>
      </c>
      <c r="J36">
        <v>69</v>
      </c>
      <c r="K36">
        <v>46</v>
      </c>
    </row>
    <row r="37" spans="1:11" x14ac:dyDescent="0.3">
      <c r="A37">
        <v>45</v>
      </c>
      <c r="B37">
        <v>58</v>
      </c>
      <c r="C37">
        <v>55</v>
      </c>
      <c r="D37">
        <v>71</v>
      </c>
      <c r="E37">
        <v>52</v>
      </c>
      <c r="F37">
        <v>86</v>
      </c>
      <c r="G37">
        <v>45</v>
      </c>
      <c r="H37">
        <v>69</v>
      </c>
      <c r="I37">
        <v>56</v>
      </c>
      <c r="J37">
        <v>49</v>
      </c>
      <c r="K37">
        <v>67</v>
      </c>
    </row>
    <row r="38" spans="1:11" x14ac:dyDescent="0.3">
      <c r="A38">
        <v>66</v>
      </c>
      <c r="B38">
        <v>58</v>
      </c>
      <c r="C38">
        <v>41</v>
      </c>
      <c r="D38">
        <v>41</v>
      </c>
      <c r="E38">
        <v>64</v>
      </c>
      <c r="F38">
        <v>58</v>
      </c>
      <c r="G38">
        <v>44</v>
      </c>
      <c r="H38">
        <v>79</v>
      </c>
      <c r="I38">
        <v>76</v>
      </c>
      <c r="J38">
        <v>45</v>
      </c>
      <c r="K38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3</vt:i4>
      </vt:variant>
    </vt:vector>
  </HeadingPairs>
  <TitlesOfParts>
    <vt:vector size="3" baseType="lpstr"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chanan jacobs</cp:lastModifiedBy>
  <dcterms:created xsi:type="dcterms:W3CDTF">2016-01-03T06:05:28Z</dcterms:created>
  <dcterms:modified xsi:type="dcterms:W3CDTF">2022-06-15T05:51:56Z</dcterms:modified>
</cp:coreProperties>
</file>